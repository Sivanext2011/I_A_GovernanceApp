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ricsson-my.sharepoint.com/personal/r_x_siva_ericsson_com/Documents/Documents/I_A_GovernanceApp/docs/"/>
    </mc:Choice>
  </mc:AlternateContent>
  <xr:revisionPtr revIDLastSave="0" documentId="8_{68F40616-94EC-4FCD-9043-0C86B57B773D}" xr6:coauthVersionLast="47" xr6:coauthVersionMax="47" xr10:uidLastSave="{00000000-0000-0000-0000-000000000000}"/>
  <bookViews>
    <workbookView xWindow="-110" yWindow="-110" windowWidth="19420" windowHeight="10300" tabRatio="656" firstSheet="1" activeTab="2" xr2:uid="{80CB5919-E359-4E26-B2BF-5881DA2BC812}"/>
  </bookViews>
  <sheets>
    <sheet name="Monthly Data 2024" sheetId="11" r:id="rId1"/>
    <sheet name="Monthly Data 2025" sheetId="1" r:id="rId2"/>
    <sheet name="Monthly Data 2026" sheetId="12" r:id="rId3"/>
    <sheet name="Star Awards 2026" sheetId="15" r:id="rId4"/>
    <sheet name="Top 5 and Assets" sheetId="8" r:id="rId5"/>
    <sheet name="Unused Assets" sheetId="10" r:id="rId6"/>
    <sheet name="Bottom Assets" sheetId="9" r:id="rId7"/>
    <sheet name="3 Years Trend" sheetId="7" r:id="rId8"/>
    <sheet name="Charts 2026" sheetId="13" r:id="rId9"/>
    <sheet name="Charts 2025" sheetId="2" r:id="rId10"/>
    <sheet name="Data (2)" sheetId="3" state="hidden" r:id="rId11"/>
    <sheet name="EB Downloads" sheetId="5" state="hidden" r:id="rId12"/>
    <sheet name="StarAwards 2025" sheetId="4" r:id="rId13"/>
  </sheets>
  <definedNames>
    <definedName name="_xlnm._FilterDatabase" localSheetId="12" hidden="1">'StarAwards 2025'!$A$1:$D$43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" i="12" l="1"/>
  <c r="P5" i="12"/>
  <c r="AI5" i="12" s="1"/>
  <c r="AK5" i="12" s="1"/>
  <c r="AI3" i="12"/>
  <c r="AK4" i="12"/>
  <c r="AK6" i="12"/>
  <c r="AK7" i="12"/>
  <c r="AK8" i="12"/>
  <c r="AK9" i="12"/>
  <c r="AK10" i="12"/>
  <c r="AK11" i="12"/>
  <c r="AK12" i="12"/>
  <c r="AK13" i="12"/>
  <c r="AK14" i="12"/>
  <c r="AJ4" i="12"/>
  <c r="AJ6" i="12"/>
  <c r="AJ7" i="12"/>
  <c r="AJ8" i="12"/>
  <c r="AJ9" i="12"/>
  <c r="AJ10" i="12"/>
  <c r="AJ11" i="12"/>
  <c r="AJ12" i="12"/>
  <c r="AJ13" i="12"/>
  <c r="AJ14" i="12"/>
  <c r="AI4" i="12"/>
  <c r="AI6" i="12"/>
  <c r="AI7" i="12"/>
  <c r="AI8" i="12"/>
  <c r="AI9" i="12"/>
  <c r="AI10" i="12"/>
  <c r="AI11" i="12"/>
  <c r="AI12" i="12"/>
  <c r="AI13" i="12"/>
  <c r="AI14" i="12"/>
  <c r="Z5" i="12"/>
  <c r="X5" i="12"/>
  <c r="AH5" i="12" l="1"/>
  <c r="R5" i="12"/>
  <c r="J5" i="12"/>
  <c r="AF5" i="12"/>
  <c r="H5" i="12"/>
  <c r="AH4" i="12"/>
  <c r="Z4" i="12"/>
  <c r="J4" i="12"/>
  <c r="R4" i="12"/>
  <c r="AF4" i="12"/>
  <c r="H4" i="12"/>
  <c r="D6" i="7"/>
  <c r="AG15" i="12"/>
  <c r="AE15" i="12"/>
  <c r="AD15" i="12"/>
  <c r="Y15" i="12"/>
  <c r="W15" i="12"/>
  <c r="V15" i="12"/>
  <c r="Q15" i="12"/>
  <c r="O15" i="12"/>
  <c r="N15" i="12"/>
  <c r="Z3" i="12"/>
  <c r="R3" i="12"/>
  <c r="AF3" i="12"/>
  <c r="X3" i="12"/>
  <c r="X4" i="12"/>
  <c r="X6" i="12"/>
  <c r="X7" i="12"/>
  <c r="X8" i="12"/>
  <c r="X9" i="12"/>
  <c r="X10" i="12"/>
  <c r="X11" i="12"/>
  <c r="X12" i="12"/>
  <c r="X13" i="12"/>
  <c r="X14" i="12"/>
  <c r="P3" i="12"/>
  <c r="P4" i="12"/>
  <c r="P6" i="12"/>
  <c r="P7" i="12"/>
  <c r="P8" i="12"/>
  <c r="P9" i="12"/>
  <c r="P10" i="12"/>
  <c r="P11" i="12"/>
  <c r="P12" i="12"/>
  <c r="P13" i="12"/>
  <c r="P14" i="12"/>
  <c r="H3" i="12"/>
  <c r="AJ3" i="12"/>
  <c r="AC15" i="12"/>
  <c r="AB15" i="12"/>
  <c r="AA15" i="12"/>
  <c r="I15" i="12"/>
  <c r="G15" i="12"/>
  <c r="F15" i="12"/>
  <c r="E15" i="12"/>
  <c r="D15" i="12"/>
  <c r="C15" i="12"/>
  <c r="J3" i="12"/>
  <c r="AF15" i="12" l="1"/>
  <c r="AH15" i="12" s="1"/>
  <c r="P15" i="12"/>
  <c r="R15" i="12" s="1"/>
  <c r="AJ15" i="12"/>
  <c r="X15" i="12"/>
  <c r="Z15" i="12" s="1"/>
  <c r="AK3" i="12"/>
  <c r="AH3" i="12"/>
  <c r="H15" i="12"/>
  <c r="J15" i="12" s="1"/>
  <c r="AI15" i="12" l="1"/>
  <c r="AK15" i="12" s="1"/>
  <c r="H14" i="1" l="1"/>
  <c r="T14" i="1"/>
  <c r="R14" i="1"/>
  <c r="S14" i="1"/>
  <c r="F15" i="1"/>
  <c r="R13" i="1"/>
  <c r="J13" i="1"/>
  <c r="H10" i="1"/>
  <c r="S10" i="1" s="1"/>
  <c r="H11" i="1"/>
  <c r="S11" i="1" s="1"/>
  <c r="H12" i="1"/>
  <c r="H13" i="1"/>
  <c r="S13" i="1" s="1"/>
  <c r="T13" i="1"/>
  <c r="T12" i="1"/>
  <c r="J12" i="1"/>
  <c r="R12" i="1"/>
  <c r="S12" i="1"/>
  <c r="R11" i="1"/>
  <c r="T11" i="1"/>
  <c r="P11" i="1"/>
  <c r="T4" i="1"/>
  <c r="T5" i="1"/>
  <c r="T6" i="1"/>
  <c r="T7" i="1"/>
  <c r="T8" i="1"/>
  <c r="T9" i="1"/>
  <c r="U9" i="1" s="1"/>
  <c r="T10" i="1"/>
  <c r="S4" i="1"/>
  <c r="S5" i="1"/>
  <c r="S6" i="1"/>
  <c r="S7" i="1"/>
  <c r="S8" i="1"/>
  <c r="S9" i="1"/>
  <c r="R10" i="1"/>
  <c r="P4" i="1"/>
  <c r="P5" i="1"/>
  <c r="P6" i="1"/>
  <c r="P7" i="1"/>
  <c r="P8" i="1"/>
  <c r="P9" i="1"/>
  <c r="R9" i="1" s="1"/>
  <c r="P10" i="1"/>
  <c r="R7" i="1"/>
  <c r="P3" i="1"/>
  <c r="R3" i="1" s="1"/>
  <c r="H4" i="1"/>
  <c r="H5" i="1"/>
  <c r="H6" i="1"/>
  <c r="H7" i="1"/>
  <c r="H8" i="1"/>
  <c r="H9" i="1"/>
  <c r="J9" i="1" s="1"/>
  <c r="H3" i="1"/>
  <c r="M15" i="1"/>
  <c r="R8" i="1"/>
  <c r="J7" i="1"/>
  <c r="J10" i="1" l="1"/>
  <c r="U7" i="1"/>
  <c r="U6" i="1" l="1"/>
  <c r="R6" i="1"/>
  <c r="J6" i="1"/>
  <c r="Q15" i="11"/>
  <c r="O15" i="11"/>
  <c r="N15" i="11"/>
  <c r="M15" i="11"/>
  <c r="L15" i="11"/>
  <c r="K15" i="11"/>
  <c r="I15" i="11"/>
  <c r="T15" i="11" s="1"/>
  <c r="G15" i="11"/>
  <c r="F15" i="11"/>
  <c r="E15" i="11"/>
  <c r="D15" i="11"/>
  <c r="C15" i="11"/>
  <c r="T14" i="11"/>
  <c r="S14" i="11"/>
  <c r="U14" i="11" s="1"/>
  <c r="R14" i="11"/>
  <c r="J14" i="11"/>
  <c r="H14" i="11"/>
  <c r="T13" i="11"/>
  <c r="P13" i="11"/>
  <c r="R13" i="11" s="1"/>
  <c r="H13" i="11"/>
  <c r="J13" i="11" s="1"/>
  <c r="T12" i="11"/>
  <c r="P12" i="11"/>
  <c r="S12" i="11" s="1"/>
  <c r="U12" i="11" s="1"/>
  <c r="H12" i="11"/>
  <c r="J12" i="11" s="1"/>
  <c r="T11" i="11"/>
  <c r="R11" i="11"/>
  <c r="P11" i="11"/>
  <c r="H11" i="11"/>
  <c r="S11" i="11" s="1"/>
  <c r="U11" i="11" s="1"/>
  <c r="T10" i="11"/>
  <c r="P10" i="11"/>
  <c r="S10" i="11" s="1"/>
  <c r="U10" i="11" s="1"/>
  <c r="H10" i="11"/>
  <c r="J10" i="11" s="1"/>
  <c r="T9" i="11"/>
  <c r="S9" i="11"/>
  <c r="U9" i="11" s="1"/>
  <c r="P9" i="11"/>
  <c r="R9" i="11" s="1"/>
  <c r="J9" i="11"/>
  <c r="H9" i="11"/>
  <c r="T8" i="11"/>
  <c r="S8" i="11"/>
  <c r="U8" i="11" s="1"/>
  <c r="R8" i="11"/>
  <c r="P8" i="11"/>
  <c r="H8" i="11"/>
  <c r="J8" i="11" s="1"/>
  <c r="T7" i="11"/>
  <c r="P7" i="11"/>
  <c r="S7" i="11" s="1"/>
  <c r="U7" i="11" s="1"/>
  <c r="H7" i="11"/>
  <c r="J7" i="11" s="1"/>
  <c r="T6" i="11"/>
  <c r="P6" i="11"/>
  <c r="S6" i="11" s="1"/>
  <c r="U6" i="11" s="1"/>
  <c r="J6" i="11"/>
  <c r="H6" i="11"/>
  <c r="T5" i="11"/>
  <c r="P5" i="11"/>
  <c r="R5" i="11" s="1"/>
  <c r="H5" i="11"/>
  <c r="J5" i="11" s="1"/>
  <c r="F5" i="11"/>
  <c r="T4" i="11"/>
  <c r="R4" i="11"/>
  <c r="H4" i="11"/>
  <c r="J4" i="11" s="1"/>
  <c r="T3" i="11"/>
  <c r="R3" i="11"/>
  <c r="P3" i="11"/>
  <c r="H3" i="11"/>
  <c r="S3" i="11" s="1"/>
  <c r="U3" i="11" s="1"/>
  <c r="R6" i="11" l="1"/>
  <c r="P15" i="11"/>
  <c r="S4" i="11"/>
  <c r="U4" i="11" s="1"/>
  <c r="S5" i="11"/>
  <c r="U5" i="11" s="1"/>
  <c r="R12" i="11"/>
  <c r="S13" i="11"/>
  <c r="U13" i="11" s="1"/>
  <c r="R7" i="11"/>
  <c r="J3" i="11"/>
  <c r="J11" i="11"/>
  <c r="H15" i="11"/>
  <c r="J15" i="11" s="1"/>
  <c r="R10" i="11"/>
  <c r="S15" i="11" l="1"/>
  <c r="U15" i="11" s="1"/>
  <c r="R15" i="11"/>
  <c r="R5" i="1" l="1"/>
  <c r="C4" i="3" l="1"/>
  <c r="E4" i="3"/>
  <c r="F4" i="3"/>
  <c r="F3" i="3"/>
  <c r="E3" i="3"/>
  <c r="E15" i="3" s="1"/>
  <c r="C3" i="3"/>
  <c r="G4" i="3"/>
  <c r="R4" i="1"/>
  <c r="E15" i="1"/>
  <c r="T3" i="1" l="1"/>
  <c r="S3" i="1"/>
  <c r="G3" i="3" s="1"/>
  <c r="P15" i="1" l="1"/>
  <c r="C15" i="3"/>
  <c r="Z17" i="7" l="1"/>
  <c r="Z16" i="7"/>
  <c r="Z15" i="7"/>
  <c r="Z13" i="7"/>
  <c r="Z12" i="7"/>
  <c r="Y24" i="7"/>
  <c r="X24" i="7"/>
  <c r="Q15" i="1"/>
  <c r="R15" i="1" s="1"/>
  <c r="O15" i="1"/>
  <c r="N15" i="1"/>
  <c r="K15" i="1"/>
  <c r="L15" i="1"/>
  <c r="C15" i="1"/>
  <c r="D15" i="1"/>
  <c r="G15" i="1"/>
  <c r="I15" i="1"/>
  <c r="D4" i="7"/>
  <c r="D3" i="7"/>
  <c r="Z22" i="7"/>
  <c r="D42" i="3"/>
  <c r="J3" i="1"/>
  <c r="D3" i="3" s="1"/>
  <c r="J5" i="1"/>
  <c r="J11" i="1"/>
  <c r="C46" i="3"/>
  <c r="D41" i="3"/>
  <c r="C21" i="5"/>
  <c r="C3" i="5"/>
  <c r="E21" i="5"/>
  <c r="C4" i="5"/>
  <c r="D21" i="5"/>
  <c r="B4" i="5"/>
  <c r="D4" i="5"/>
  <c r="B21" i="5"/>
  <c r="B3" i="5"/>
  <c r="D3" i="5"/>
  <c r="D40" i="3"/>
  <c r="D46" i="3"/>
  <c r="E46" i="3" s="1"/>
  <c r="D47" i="3" s="1"/>
  <c r="J8" i="1"/>
  <c r="J4" i="1"/>
  <c r="D4" i="3" s="1"/>
  <c r="T15" i="1" l="1"/>
  <c r="Z18" i="7"/>
  <c r="Z19" i="7"/>
  <c r="Z20" i="7"/>
  <c r="Z21" i="7"/>
  <c r="J14" i="1"/>
  <c r="U14" i="1"/>
  <c r="Z23" i="7"/>
  <c r="Z14" i="7"/>
  <c r="H15" i="1"/>
  <c r="S15" i="1" s="1"/>
  <c r="U13" i="1"/>
  <c r="U10" i="1"/>
  <c r="U11" i="1"/>
  <c r="U8" i="1"/>
  <c r="U12" i="1"/>
  <c r="U15" i="1" l="1"/>
  <c r="H15" i="3" s="1"/>
  <c r="G15" i="3"/>
  <c r="Z24" i="7"/>
  <c r="AA24" i="7" s="1"/>
  <c r="AA25" i="7" s="1"/>
  <c r="J15" i="1"/>
  <c r="D15" i="3" s="1"/>
  <c r="U5" i="1"/>
  <c r="U3" i="1"/>
  <c r="H3" i="3" s="1"/>
  <c r="U4" i="1"/>
  <c r="H4" i="3" s="1"/>
  <c r="F15" i="3"/>
</calcChain>
</file>

<file path=xl/sharedStrings.xml><?xml version="1.0" encoding="utf-8"?>
<sst xmlns="http://schemas.openxmlformats.org/spreadsheetml/2006/main" count="988" uniqueCount="357">
  <si>
    <t>Billing</t>
  </si>
  <si>
    <t>Charging</t>
  </si>
  <si>
    <t>Overall</t>
  </si>
  <si>
    <t>Month</t>
  </si>
  <si>
    <t>Monetization KPI</t>
  </si>
  <si>
    <t>Total Number of Assets Download - Billing</t>
  </si>
  <si>
    <t>Total Number of Assets Reused with Savings - Billing</t>
  </si>
  <si>
    <t>Pending Feedback - Billing</t>
  </si>
  <si>
    <t>Asset Savings - Billing</t>
  </si>
  <si>
    <t>Automation Savings - Billing</t>
  </si>
  <si>
    <t>Total Savings - Billing</t>
  </si>
  <si>
    <t>Billability Hours - Billing</t>
  </si>
  <si>
    <t>Billing Savings %</t>
  </si>
  <si>
    <t>Total Number of Assets Download - Charging</t>
  </si>
  <si>
    <t>Total Number of Assets Reused with Savings - Charging</t>
  </si>
  <si>
    <t>Pending Feedback - Charging</t>
  </si>
  <si>
    <t>Asset Savings - Charging</t>
  </si>
  <si>
    <t>Automation Savings - Charging</t>
  </si>
  <si>
    <t>Total Savings - Charging</t>
  </si>
  <si>
    <t>Billability Hours - Charging</t>
  </si>
  <si>
    <t>Charging Savings</t>
  </si>
  <si>
    <t>Total Savings - Monetization</t>
  </si>
  <si>
    <t>Billability Hours - Monetization</t>
  </si>
  <si>
    <t>Monetization Savings %</t>
  </si>
  <si>
    <t>Jan</t>
  </si>
  <si>
    <t>Feb</t>
  </si>
  <si>
    <t>Mar</t>
  </si>
  <si>
    <t>April</t>
  </si>
  <si>
    <t>May</t>
  </si>
  <si>
    <t>Jun</t>
  </si>
  <si>
    <t>YTD</t>
  </si>
  <si>
    <t>Charging Savings %</t>
  </si>
  <si>
    <t>Jul</t>
  </si>
  <si>
    <t>Asset Reuse (Hrs) -SDU</t>
  </si>
  <si>
    <t>Apr</t>
  </si>
  <si>
    <t>Total</t>
  </si>
  <si>
    <t>Month / Year</t>
  </si>
  <si>
    <t>Domain</t>
  </si>
  <si>
    <t>Name</t>
  </si>
  <si>
    <t>Ramakrishnan Shanmugam</t>
  </si>
  <si>
    <t>Vivek R</t>
  </si>
  <si>
    <t>LM</t>
  </si>
  <si>
    <t>EC</t>
  </si>
  <si>
    <t>EB</t>
  </si>
  <si>
    <t>Thota Arun Kumar</t>
  </si>
  <si>
    <t>Smita Behera</t>
  </si>
  <si>
    <t>Suman Chakraborty</t>
  </si>
  <si>
    <t>Nanditha Keshavamurthy</t>
  </si>
  <si>
    <t>Akash Ghosh</t>
  </si>
  <si>
    <t>Rajni Priyanka Toppo</t>
  </si>
  <si>
    <t>Aug</t>
  </si>
  <si>
    <t>Download Year</t>
  </si>
  <si>
    <t>Download Count</t>
  </si>
  <si>
    <t>Sep</t>
  </si>
  <si>
    <t>Oct</t>
  </si>
  <si>
    <t>Nov</t>
  </si>
  <si>
    <t>Dec</t>
  </si>
  <si>
    <t>Totals</t>
  </si>
  <si>
    <t>Average</t>
  </si>
  <si>
    <t>SDU Assets</t>
  </si>
  <si>
    <t>ALL Assets</t>
  </si>
  <si>
    <t>R Rajkiran</t>
  </si>
  <si>
    <t>Nagarajan Vedaraman</t>
  </si>
  <si>
    <t>PC Hemanath</t>
  </si>
  <si>
    <t>Rik Deb</t>
  </si>
  <si>
    <t>Biswajit Pahari</t>
  </si>
  <si>
    <t>Siva Ramakrishnan</t>
  </si>
  <si>
    <t>A S Balasubramanian</t>
  </si>
  <si>
    <t>Subhas Chandra Guria C</t>
  </si>
  <si>
    <t>Year</t>
  </si>
  <si>
    <t xml:space="preserve">Savings </t>
  </si>
  <si>
    <t>Billablity Hour</t>
  </si>
  <si>
    <t>Savings Percentage</t>
  </si>
  <si>
    <t>BSS - EC21 - SDP Report in Single Click - Script</t>
  </si>
  <si>
    <t>Grand Total</t>
  </si>
  <si>
    <t>BSCS Regression Test Suite</t>
  </si>
  <si>
    <t>Monetization</t>
  </si>
  <si>
    <t>P. Arun Pandiyan</t>
  </si>
  <si>
    <t>Subhajyoti Sarkar</t>
  </si>
  <si>
    <t>Amrit Das D</t>
  </si>
  <si>
    <t>Dharanidhar Sahoo</t>
  </si>
  <si>
    <t>Nikhil Verma</t>
  </si>
  <si>
    <t>Giridhar G</t>
  </si>
  <si>
    <t>G Purushotham</t>
  </si>
  <si>
    <t>Sudhanshu B Dubey</t>
  </si>
  <si>
    <t>Gilfred P</t>
  </si>
  <si>
    <t>Amit Jain J</t>
  </si>
  <si>
    <t>Row Labels</t>
  </si>
  <si>
    <t>Sum of Total Saving</t>
  </si>
  <si>
    <t>BSS - EC22 - CBA CCN Single Click - Tool</t>
  </si>
  <si>
    <t>Asset Id</t>
  </si>
  <si>
    <t>Asset Name</t>
  </si>
  <si>
    <t>Node Type</t>
  </si>
  <si>
    <t>Asset Group</t>
  </si>
  <si>
    <t>BSS - CS16 - Extraction of Live Structures from SDP AIR RMA configuration - Tool</t>
  </si>
  <si>
    <t>CS - Multi Node</t>
  </si>
  <si>
    <t>29~Business Configuration</t>
  </si>
  <si>
    <t>BSS - EC20 - SDP Business Config Time Based action use case - TOL</t>
  </si>
  <si>
    <t>SDP</t>
  </si>
  <si>
    <t>BSS - EC20 - BC Automation - Tool</t>
  </si>
  <si>
    <t>BSS - Charging system Automation framework Offering [ECAF Assets] NGVS Installation Bare Metal SNI  - Tool</t>
  </si>
  <si>
    <t>NGVS</t>
  </si>
  <si>
    <t>26~Installation</t>
  </si>
  <si>
    <t>BSS - Charging system Automation framework Offering [CSAF Assets] NGVS Integration FNI - Tool</t>
  </si>
  <si>
    <t>BSS - Charging system Automation framework Offering [CSAF Assets] AIR Integration SNI  - Tool</t>
  </si>
  <si>
    <t>AIR</t>
  </si>
  <si>
    <t>BSS - CS - SDP AIR UTIL TOOL - SCRIPT</t>
  </si>
  <si>
    <t>32~Miscellaneous</t>
  </si>
  <si>
    <t>BSS - CS Template Based Business Configuration</t>
  </si>
  <si>
    <t>BSS-CS-license ordering Flow-FLOW</t>
  </si>
  <si>
    <t xml:space="preserve">CS </t>
  </si>
  <si>
    <t>BSS-CS18.1 - Traffic Simulator - Package</t>
  </si>
  <si>
    <t>BSS-EC20-Define/Update Business Configuration resources(Offer/DA/UA/UC/UT)in SDP SMA-Script</t>
  </si>
  <si>
    <t>BSS-EC20-NGVS ICP20-01 Upgrade Learnings</t>
  </si>
  <si>
    <t>27~Upgrade</t>
  </si>
  <si>
    <t>BSS - Ericsson Charging Automation framework Offering [ECAF HC Assets] VXML-IVR HealthCheck - Tool</t>
  </si>
  <si>
    <t>VXML</t>
  </si>
  <si>
    <t>BSS-EC21-GT_ChangeProcedure_SDP/AIR/CCN - MOP</t>
  </si>
  <si>
    <t>BSS_EC21_AIR Acceptance Procedure Upgrade Template</t>
  </si>
  <si>
    <t>BSS - EC21 - ECMS 5.0.2 to 5.4.0 EC21 GA Upgrade - Impact Analysis</t>
  </si>
  <si>
    <t>ECMS</t>
  </si>
  <si>
    <t>BSS - EC21 - NGCRS Upgrade Network Impact Report</t>
  </si>
  <si>
    <t>NGCRS</t>
  </si>
  <si>
    <t>BSS-EC20-NGCRS 9x SAP BO Reports Validation Procedure and Methodology for Account Reporting Area</t>
  </si>
  <si>
    <t xml:space="preserve">NGCRS </t>
  </si>
  <si>
    <t>BSS - EC20 - ECMS Installation Test Object List</t>
  </si>
  <si>
    <t>BSS - EC20 - ECMS Firmware Upgrade MOP</t>
  </si>
  <si>
    <t>BSS - EC20 - ECMS Handover to Operations</t>
  </si>
  <si>
    <t>BSS - EC20 - EC PCS OCC Low Level Design Document</t>
  </si>
  <si>
    <t>OCC</t>
  </si>
  <si>
    <t>BSS - EC20 - CCN Migration Strategy</t>
  </si>
  <si>
    <t>CCN</t>
  </si>
  <si>
    <t>33~Migration Assets</t>
  </si>
  <si>
    <t>BSS - EC21 - NGCRS Upgrade MOP</t>
  </si>
  <si>
    <t>BSS-EC21-SDP-TEMPLATE OFFER VALIDATION SCRIPT-TOOL</t>
  </si>
  <si>
    <t>BSS-EC20-CS XML Generator</t>
  </si>
  <si>
    <t>BSS-EC21-SDP-BC Data Extraction from Static Dump - Script</t>
  </si>
  <si>
    <t>BSS - EC22 - Estimator Upgrade - Tool</t>
  </si>
  <si>
    <t>BSS - EC22- SoW New Deployment-Template</t>
  </si>
  <si>
    <t>BSS - EC22- SoW Upgrade-Template</t>
  </si>
  <si>
    <t>BSS - EC22- Resource Planning-Guide</t>
  </si>
  <si>
    <t>BSS - EC21 - Testing - Ericsson Charging Automation Test Tool</t>
  </si>
  <si>
    <t>CS- Multi Node</t>
  </si>
  <si>
    <t>BSS-EC22-AIR-Network Impact Report</t>
  </si>
  <si>
    <t>BSS - EC22.2-Estimator for New Deployments-Tool</t>
  </si>
  <si>
    <t>BSS - EC 22 - Container standalone SDP Geo Red failover &amp; fallback script execution MOP</t>
  </si>
  <si>
    <t>BSS - EC21- vCBA CCN Backup and Recovery Method</t>
  </si>
  <si>
    <t>BSS - Ericsson Charging Automation framework Offering [ECAF Assets] Ref Config - Tool</t>
  </si>
  <si>
    <t>CCN CBA</t>
  </si>
  <si>
    <t>BSS- EC22 - CCN MITO Integration</t>
  </si>
  <si>
    <t>BSS - EC22 - NGCRS Network impact</t>
  </si>
  <si>
    <t>BSS-EC22- ECMS License Switching from Sentinel to NELS</t>
  </si>
  <si>
    <t>BSS- EC22- CCN CBA Installation MoP for HP Proliant Gen10</t>
  </si>
  <si>
    <t>BSS - EC22.6 - Estimator for New Deployments – Tool</t>
  </si>
  <si>
    <t>BSS-EC22-CAF-AF Integration-MOP</t>
  </si>
  <si>
    <t>BSS-EC22-vCAF-SDP Diameter Integration -MOP</t>
  </si>
  <si>
    <t>BSS-EC22-Manual AIR Health Check</t>
  </si>
  <si>
    <t>BSS - EC21 - OCC Health check - MOP</t>
  </si>
  <si>
    <t>BSS - EC - Manual CCN Health Check_for_BM,VM</t>
  </si>
  <si>
    <t>BSS - EC22 - OCC - Remote Syslog Server Integration</t>
  </si>
  <si>
    <t>BSS - SWDP E2E Pipeline cEC Node-SDP Install and post healthcheck using CDD</t>
  </si>
  <si>
    <t xml:space="preserve">BSS - EC 22.x - NGCRS Firmware Upgrade MOP </t>
  </si>
  <si>
    <t>BSS - EC22-ECPCS-cAF-Verification-Solution-Document</t>
  </si>
  <si>
    <t>ECPCS</t>
  </si>
  <si>
    <t>BSS - EC22-ECPCS-cAIR-Verification-Solution-Document</t>
  </si>
  <si>
    <t>BSS - EC22-ECPCS-cBCD-Verification-Solution-Document</t>
  </si>
  <si>
    <t>BSS - EC22-ECPCS-cSDP-Verification-Solution-Document</t>
  </si>
  <si>
    <t>BSS - EC22 - OCC O&amp;M IP Change Procedure Guide</t>
  </si>
  <si>
    <t>BOS-GDS-DEPLOYMENT-MOP</t>
  </si>
  <si>
    <t>GDS</t>
  </si>
  <si>
    <t>BSS - CS18.1 - AIR Refill Unit Testing - Script</t>
  </si>
  <si>
    <t>BSS - EC20 - NGVS Upgrade Network Impact - Design</t>
  </si>
  <si>
    <t>BSS – EC 20 – ECMS 5.3.0 Upgrade Network Impact – Impact Analysis</t>
  </si>
  <si>
    <t>BSS - CS - AIR Function Activation Tool - Script</t>
  </si>
  <si>
    <t xml:space="preserve">BSS - EC20 - SDP GR Automation - Tool </t>
  </si>
  <si>
    <t>BSS - EC20 - OCC - Upgrade Issues and Resolution - Lessons Learned</t>
  </si>
  <si>
    <t>BSS - CS20 - Testing - Charging System Automation Tool</t>
  </si>
  <si>
    <t>CS - Multi Code</t>
  </si>
  <si>
    <t>BSS - EC20 - Virtual OCC Deployment Model Change Distributed to Non Distributed model - MOP</t>
  </si>
  <si>
    <t>BSS - Ericsson Charging Automation framework Offering [ECAF HC Assets] ECMS HealthCheck - Tool</t>
  </si>
  <si>
    <t>BSS - EC20 - Feature Activation Impact Analysis &amp; Implementation procedure - NIR</t>
  </si>
  <si>
    <t>BSS - EC20 - ECMS NFNT Test Object List</t>
  </si>
  <si>
    <t>BSS - EC20 - NGVS NFNT Test Object List</t>
  </si>
  <si>
    <t>BSS - EC20 - SDP NFNT Test Object List</t>
  </si>
  <si>
    <t>BSS - EC20 - OCC NFNT Distributed Test Object List</t>
  </si>
  <si>
    <t>BSS - EC20 - IVR - ICP version - Upgrade MOP for BM</t>
  </si>
  <si>
    <t>IVR</t>
  </si>
  <si>
    <t>BSS - EC20 - VXML IVR Customer Questionnare</t>
  </si>
  <si>
    <t>BSS-EC20-NGCRS-Disabling of Unused Network Interfaces</t>
  </si>
  <si>
    <t>BSS - EC20 - NGVS User Acceptance Testing</t>
  </si>
  <si>
    <t>BSS - EC21 - Testing - EC Generic TOL</t>
  </si>
  <si>
    <t>BSS-EC22-ECMS-ECMS Capacity Enhancement</t>
  </si>
  <si>
    <t>BSS - EC20 - OCC Cache Clearing Single Click tool</t>
  </si>
  <si>
    <t>BSS-EC20-NGCRS-Root FS Backup And Restore on NFS for RHEL7.4</t>
  </si>
  <si>
    <t>BSS-EC20-AIR ATP Document</t>
  </si>
  <si>
    <t>BSS-EC20-Community Charging Implementation-MOP</t>
  </si>
  <si>
    <t>BSS-EC20-AIR SW Update Procedure for BareMetal</t>
  </si>
  <si>
    <t>BSS - EC - AIR NFS Backup and Restoration Procedure in Virtualized Environment-MOP</t>
  </si>
  <si>
    <t>BSS-EC20.1-NGVS INSTALLATION_INTEGRATION MOP</t>
  </si>
  <si>
    <t>BSS EC- AIR BCD Upgrade  - Tool</t>
  </si>
  <si>
    <t>BSS - EC22.9 - Estimator for New Deployments - Tool</t>
  </si>
  <si>
    <t>BSS - EC22.9 - Estimator Upgrade - Tool</t>
  </si>
  <si>
    <t>BSS - EC22 - SDP Backup and Restore Virtual Deployment - MOP</t>
  </si>
  <si>
    <t>BSS - EC22 - SDP ICP 2304 on BM SW Update MOP content generation</t>
  </si>
  <si>
    <t>BSS-EC-22.X-NGCRS Upgrade UAT Script Usage Guide</t>
  </si>
  <si>
    <t>CHARGING</t>
  </si>
  <si>
    <t>BSS - Ericsson Charging Automation framework Offering [ECAF Assets] AIR Installation  Bare Metal SNI- Tool</t>
  </si>
  <si>
    <t>BSS - EC20.1 - ECMS_SOLARIS TO LINUX MIGRATION - MOP</t>
  </si>
  <si>
    <t>BSS - EC20 - OCC Handover to Operation -  Template</t>
  </si>
  <si>
    <t>BSS - EC20 - ECMS Low Level Design Document</t>
  </si>
  <si>
    <t>BSS - CS18 - CCN Upgrade Network Impact Report - Impact Analysis</t>
  </si>
  <si>
    <t>BSS - EC - SDP GeoRedundancy Active-Active Solution- LLD</t>
  </si>
  <si>
    <t>BSS - CS18.1 - ECMS Integrations - Guide</t>
  </si>
  <si>
    <t>BSS - Ericsson Charging Automation framework Offering [ECAF Assets] CCN CBA ( Vmware) Installation Virtual SNI -Tool</t>
  </si>
  <si>
    <t>BSS - EC20 - SDP VoLTE &amp; VoWIFI SDP BC - LLD</t>
  </si>
  <si>
    <t>BSS - EC22 - SDP Link creation in CBA CCN</t>
  </si>
  <si>
    <t>BSS - EC20 - EC PCS SDP Low Level Design Document</t>
  </si>
  <si>
    <t>BSS - CS18.1 - ECMS Upgrade for Bare Metal Deployment - MOP</t>
  </si>
  <si>
    <t>BSS - EC20 - ECNMT ATP Document - TOL</t>
  </si>
  <si>
    <t>BSS -EC20 - SDP Notification to External System Over HTTP -MOP</t>
  </si>
  <si>
    <t>BSS - EC21 - Advanced Load Balancing HLD</t>
  </si>
  <si>
    <t>BSS - EC20 - Simulator Installation Procedure - MOP</t>
  </si>
  <si>
    <t>BSS - SWDP Pipeline Verification-cESSVT Nodes Installation and Integration with EC</t>
  </si>
  <si>
    <t>BSS-EC20-CBACCN_Counter_Script</t>
  </si>
  <si>
    <t>Top 5 assets Charging</t>
  </si>
  <si>
    <t>Top 5 asset Billing</t>
  </si>
  <si>
    <t>Hours</t>
  </si>
  <si>
    <t>Partheeban R</t>
  </si>
  <si>
    <t>Debraj Naskar</t>
  </si>
  <si>
    <t>Noor Alam A</t>
  </si>
  <si>
    <t xml:space="preserve">Gautam Manoharan </t>
  </si>
  <si>
    <t>Mohammed Haja Faiz</t>
  </si>
  <si>
    <t>Deepak Dulloo</t>
  </si>
  <si>
    <t>Sasikumar Kesavan</t>
  </si>
  <si>
    <t>David Cyril Samuel</t>
  </si>
  <si>
    <t>Shishir Deshpande</t>
  </si>
  <si>
    <t>Abraham Stephen D</t>
  </si>
  <si>
    <t>S Naveen Kumar</t>
  </si>
  <si>
    <t>Vivekanandan R</t>
  </si>
  <si>
    <t>Tanmay Sharma</t>
  </si>
  <si>
    <t>Shoubhik Sinha</t>
  </si>
  <si>
    <t>Sujoy Palit</t>
  </si>
  <si>
    <t>Ankit Tripathi A</t>
  </si>
  <si>
    <t>Vengatesh X</t>
  </si>
  <si>
    <t>Gaurav Gupta L</t>
  </si>
  <si>
    <t>Manasranjan Mahapatro</t>
  </si>
  <si>
    <t>Gyan Singh</t>
  </si>
  <si>
    <t>Rishabh Singh</t>
  </si>
  <si>
    <t>SDP Upgrade Customization (CDD-PSP &amp; L1-PSP)</t>
  </si>
  <si>
    <t>BSS - EC21 - AIR Single Click Report - Script</t>
  </si>
  <si>
    <t>cECC TestAutomation ESSVT Asset for SDP Functional_Asset</t>
  </si>
  <si>
    <t>BSS - Ericsson Charging Automation framework Offering [ECAF Assets] SDP Upgrade[BM &amp; VM] FNI - Tool</t>
  </si>
  <si>
    <t>BSS - EB - Deployment guide</t>
  </si>
  <si>
    <t>Chandan Padhy</t>
  </si>
  <si>
    <t>T K Kishorkumar</t>
  </si>
  <si>
    <t>Sandip Mitra</t>
  </si>
  <si>
    <t>Gulab Sharma</t>
  </si>
  <si>
    <t>Amrit Das</t>
  </si>
  <si>
    <t>Bharath K B</t>
  </si>
  <si>
    <t>Udayakumar S</t>
  </si>
  <si>
    <t>Sampad Goon</t>
  </si>
  <si>
    <t>Soma Mukherjee</t>
  </si>
  <si>
    <t>Ujwala Gorksha Bankar</t>
  </si>
  <si>
    <t>Yogesh Kumar Sahu</t>
  </si>
  <si>
    <t>Bappaditya Biswas</t>
  </si>
  <si>
    <t>Arnab Das A</t>
  </si>
  <si>
    <t>BSS - Ericsson Charging Automation framework Offering [ECAF Assets] Load Balancing - Tool</t>
  </si>
  <si>
    <t>BSS - Ericsson Charging Automation framework Offering [ECAF Assets] OCC Installation Virtual SNI -Tool</t>
  </si>
  <si>
    <t>BSS - EC20 - Feature Activation Impact  Analysis - NIR</t>
  </si>
  <si>
    <t>BSS - CSS Healtcheck Connections for HC scripts</t>
  </si>
  <si>
    <t>MOP Adding MSC (GT) in CCN</t>
  </si>
  <si>
    <t>CCN CBA Scheduled BRM Backup</t>
  </si>
  <si>
    <t>BSS - Ericsson Charging Automation framework Offering [ECAF HC Assets] OCC HealthCheck - Tool</t>
  </si>
  <si>
    <t>BSS - EC - MOP Containerized EC ansible Health Check Script - cSDP,cAIR,cAF</t>
  </si>
  <si>
    <t>MOP - EC-NMT5.1 ICP22-06 Installation</t>
  </si>
  <si>
    <t>BSS - EC - SDP - AIR Bulk Integration Solution - LLD</t>
  </si>
  <si>
    <t>BSS -EC22.4-cCAF- Scheduled backups- MOP</t>
  </si>
  <si>
    <t>BSS - EC20.1 - VCAF CERTIFICATE VALDITY PERIOD UPDATE AND RE-ISSUE - MOP</t>
  </si>
  <si>
    <t>BSS-EC-SDP-MANUAL OFFER DUMP SCRIPT</t>
  </si>
  <si>
    <t>MOP - AIR4.0 R51A ICP22-06 Installation</t>
  </si>
  <si>
    <t>BSS Multi-node Global Estimator - Tool</t>
  </si>
  <si>
    <t>BSS - EC20 - EC PCS AIR Low Level Design Document</t>
  </si>
  <si>
    <t>EC - MoP SDP NeLS_Integration</t>
  </si>
  <si>
    <t>BOSS-EC22-cCAF Site Disaster Recovery-MOP</t>
  </si>
  <si>
    <t>EC22 NGVS Healthcheck</t>
  </si>
  <si>
    <t>EC22 MoP ECNMT Upgrade from 3.2 to 4.4</t>
  </si>
  <si>
    <t>MOP - SDP5 R37A ICP22-06 Installation</t>
  </si>
  <si>
    <t>OCC Clean Cache AF</t>
  </si>
  <si>
    <t>MOP - Load SDP Information into CCN Manager Tool in CCNs</t>
  </si>
  <si>
    <t>BSS - EC - NGVS Single Click Tool</t>
  </si>
  <si>
    <t>EC21 AIR HealthCheck</t>
  </si>
  <si>
    <t>EC21 SDP HealthCheck</t>
  </si>
  <si>
    <t>BOS - cEM - CAF Traffic Monitoring</t>
  </si>
  <si>
    <t>BSS - Containerized Ericsson Charging Automation framework Offering [cECAF] cSDP Installation  - Tool</t>
  </si>
  <si>
    <t>BSS-EC22-Manual SDP Health Check</t>
  </si>
  <si>
    <t>BSS - N365 - Asset - Cook Book - Asset List</t>
  </si>
  <si>
    <t>Weblogic Stop-Start Automation for Prepaid Magenta</t>
  </si>
  <si>
    <t>BSCS_START/STOP APPLICATION AUTOMATION</t>
  </si>
  <si>
    <t>BSS - EB - Infra Deployment pipeline</t>
  </si>
  <si>
    <t>EEA 4 - Spotfire AutoRefresh Data Guide</t>
  </si>
  <si>
    <t>Automation for EOC &amp; ECM Dormancy MOP execution</t>
  </si>
  <si>
    <t>DB Partitions Expiry Check</t>
  </si>
  <si>
    <t>EOC-ECM Data Cleanup Automation For Prepaid Magenta</t>
  </si>
  <si>
    <t>FCT Cleanup Automation Tool</t>
  </si>
  <si>
    <t>Spectrum SSL Cert Renewal - Automation</t>
  </si>
  <si>
    <t>Vertex SSL Cert Renewal - Automation</t>
  </si>
  <si>
    <t>BSS - EB23 - Testing - Ericsson Billing Automation Tool with ESSVT</t>
  </si>
  <si>
    <t>BSS - EB - DMF Upgrade Automation - Tool</t>
  </si>
  <si>
    <t>Geocodeupdater_Tool_Automation</t>
  </si>
  <si>
    <t>SNMP Installation and Platform Upgradation</t>
  </si>
  <si>
    <t>Automation of AWS EC2 Instance Start Stop</t>
  </si>
  <si>
    <t>SDC CS&amp;DFE</t>
  </si>
  <si>
    <t>SDC Billing&amp;MW</t>
  </si>
  <si>
    <t>Total Number of Assets Download - SDC CS&amp;DFE</t>
  </si>
  <si>
    <t>Total Number of Assets Reused with Savings - SDC CS&amp;DFE</t>
  </si>
  <si>
    <t>Pending Feedback - SDC CS&amp;DFE</t>
  </si>
  <si>
    <t>Asset Savings - SDC CS&amp;DFE</t>
  </si>
  <si>
    <t>Automation Savings - SDC CS&amp;DFE</t>
  </si>
  <si>
    <t>Total Savings - SDC CS&amp;DFE</t>
  </si>
  <si>
    <t>Billability Hours - SDC CS&amp;DFE</t>
  </si>
  <si>
    <t>SDC CS&amp;DFE Savings %</t>
  </si>
  <si>
    <t>Total Number of Assets Download - SDC Billing&amp;MW</t>
  </si>
  <si>
    <t>Total Number of Assets Reused with Savings - SDC Billing&amp;MW</t>
  </si>
  <si>
    <t>Pending Feedback - SDC Billing&amp;MW</t>
  </si>
  <si>
    <t>Asset Savings - SDC Billing&amp;MW</t>
  </si>
  <si>
    <t>Automation Savings - SDC Billing&amp;MW</t>
  </si>
  <si>
    <t>Total Savings - SDC Billing&amp;MW</t>
  </si>
  <si>
    <t>Billability Hours - SDC Billing&amp;MW</t>
  </si>
  <si>
    <t>SDC Billing&amp;MW Savings %</t>
  </si>
  <si>
    <t>Vivek Singh H</t>
  </si>
  <si>
    <t>Umesh Kumar Hasija</t>
  </si>
  <si>
    <t>Arindam Maity</t>
  </si>
  <si>
    <t>Shaik Razzaq</t>
  </si>
  <si>
    <t>Dinesh Kumar M K</t>
  </si>
  <si>
    <t>Vasanth Francis</t>
  </si>
  <si>
    <t>Kamalbhai Bharatkumar Shah</t>
  </si>
  <si>
    <t>Bishnu Prasad Tripathy</t>
  </si>
  <si>
    <t>Yaser Majeed</t>
  </si>
  <si>
    <t>Amit Kumar QQ</t>
  </si>
  <si>
    <t>Ateesh Varun</t>
  </si>
  <si>
    <t>Shilpi Srivastava</t>
  </si>
  <si>
    <t>Akbar Hussain</t>
  </si>
  <si>
    <t>Suparba Roy Mahapatra</t>
  </si>
  <si>
    <t>Badal Chandra Das</t>
  </si>
  <si>
    <t>N Sudarvanna Pillai</t>
  </si>
  <si>
    <t>Prashant Kumar Gupta K</t>
  </si>
  <si>
    <t>Manish Kumar S</t>
  </si>
  <si>
    <t>Santanu Sadhu</t>
  </si>
  <si>
    <t>SDC SDC Billing&amp;MW</t>
  </si>
  <si>
    <t>Priyadarshanimanisha Devi</t>
  </si>
  <si>
    <t>Monalisa Mahato</t>
  </si>
  <si>
    <t>Surendiran B</t>
  </si>
  <si>
    <t>Anupam Chakraborty</t>
  </si>
  <si>
    <t>Padmendra Sengar</t>
  </si>
  <si>
    <t>Savita Choudhary</t>
  </si>
  <si>
    <t>Aruna .</t>
  </si>
  <si>
    <t>Anshu Jaiswal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</si>
</sst>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9"/>
      <color theme="1"/>
      <name val="Ericsson Hilda"/>
    </font>
    <font>
      <b/>
      <sz val="9"/>
      <color theme="1"/>
      <name val="Ericsson Hilda"/>
    </font>
    <font>
      <sz val="9"/>
      <color theme="1"/>
      <name val="Calibri"/>
      <family val="2"/>
      <scheme val="minor"/>
    </font>
    <font>
      <sz val="9"/>
      <color theme="9"/>
      <name val="Ericsson Hilda"/>
    </font>
    <font>
      <sz val="9"/>
      <color theme="9"/>
      <name val="Calibri"/>
      <family val="2"/>
      <scheme val="minor"/>
    </font>
    <font>
      <sz val="9"/>
      <color rgb="FFFF0000"/>
      <name val="Ericsson Hilda"/>
    </font>
    <font>
      <sz val="9"/>
      <color rgb="FFFF0000"/>
      <name val="Calibri"/>
      <family val="2"/>
      <scheme val="minor"/>
    </font>
    <font>
      <sz val="11"/>
      <color theme="1"/>
      <name val="Ericsson Hilda"/>
    </font>
  </fonts>
  <fills count="1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theme="4" tint="0.79998168889431442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10" fontId="0" fillId="0" borderId="0" xfId="0" applyNumberFormat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10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0" fontId="0" fillId="0" borderId="12" xfId="1" applyNumberFormat="1" applyFont="1" applyBorder="1" applyAlignment="1">
      <alignment horizont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10" fontId="5" fillId="0" borderId="14" xfId="0" applyNumberFormat="1" applyFont="1" applyBorder="1" applyAlignment="1">
      <alignment horizontal="center" vertical="center"/>
    </xf>
    <xf numFmtId="0" fontId="9" fillId="4" borderId="16" xfId="0" applyFont="1" applyFill="1" applyBorder="1" applyAlignment="1">
      <alignment horizontal="left" wrapText="1" readingOrder="1"/>
    </xf>
    <xf numFmtId="0" fontId="9" fillId="4" borderId="16" xfId="0" applyFont="1" applyFill="1" applyBorder="1" applyAlignment="1">
      <alignment horizontal="right" wrapText="1" readingOrder="1"/>
    </xf>
    <xf numFmtId="0" fontId="9" fillId="0" borderId="16" xfId="0" applyFont="1" applyBorder="1" applyAlignment="1">
      <alignment horizontal="left" wrapText="1" readingOrder="1"/>
    </xf>
    <xf numFmtId="0" fontId="10" fillId="0" borderId="16" xfId="0" applyFont="1" applyBorder="1" applyAlignment="1">
      <alignment horizontal="right" wrapText="1" readingOrder="1"/>
    </xf>
    <xf numFmtId="0" fontId="9" fillId="0" borderId="16" xfId="0" applyFont="1" applyBorder="1" applyAlignment="1">
      <alignment horizontal="right" wrapText="1" readingOrder="1"/>
    </xf>
    <xf numFmtId="9" fontId="8" fillId="0" borderId="0" xfId="1" applyFont="1" applyAlignment="1">
      <alignment horizontal="center"/>
    </xf>
    <xf numFmtId="0" fontId="0" fillId="0" borderId="0" xfId="0" applyAlignment="1">
      <alignment vertical="center"/>
    </xf>
    <xf numFmtId="0" fontId="8" fillId="0" borderId="0" xfId="0" applyFont="1"/>
    <xf numFmtId="0" fontId="6" fillId="5" borderId="9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left" vertical="center" wrapText="1"/>
    </xf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0" fontId="8" fillId="7" borderId="2" xfId="0" applyFont="1" applyFill="1" applyBorder="1"/>
    <xf numFmtId="0" fontId="8" fillId="8" borderId="2" xfId="0" applyFont="1" applyFill="1" applyBorder="1"/>
    <xf numFmtId="0" fontId="0" fillId="0" borderId="2" xfId="0" applyBorder="1"/>
    <xf numFmtId="0" fontId="8" fillId="7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0" fontId="0" fillId="0" borderId="2" xfId="1" applyNumberFormat="1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2" fillId="0" borderId="16" xfId="0" applyFont="1" applyBorder="1" applyAlignment="1">
      <alignment horizontal="right" wrapText="1" readingOrder="1"/>
    </xf>
    <xf numFmtId="0" fontId="8" fillId="0" borderId="14" xfId="0" applyFont="1" applyBorder="1" applyAlignment="1">
      <alignment horizontal="center"/>
    </xf>
    <xf numFmtId="10" fontId="8" fillId="0" borderId="15" xfId="1" applyNumberFormat="1" applyFont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8" fillId="9" borderId="24" xfId="0" applyFont="1" applyFill="1" applyBorder="1" applyAlignment="1">
      <alignment horizontal="left"/>
    </xf>
    <xf numFmtId="1" fontId="0" fillId="0" borderId="0" xfId="0" applyNumberFormat="1"/>
    <xf numFmtId="1" fontId="8" fillId="9" borderId="24" xfId="0" applyNumberFormat="1" applyFont="1" applyFill="1" applyBorder="1"/>
    <xf numFmtId="0" fontId="8" fillId="0" borderId="2" xfId="0" applyFont="1" applyBorder="1"/>
    <xf numFmtId="10" fontId="0" fillId="0" borderId="2" xfId="1" applyNumberFormat="1" applyFont="1" applyBorder="1"/>
    <xf numFmtId="0" fontId="0" fillId="0" borderId="0" xfId="0" applyAlignment="1">
      <alignment vertical="center" wrapText="1"/>
    </xf>
    <xf numFmtId="0" fontId="8" fillId="9" borderId="2" xfId="0" applyFont="1" applyFill="1" applyBorder="1"/>
    <xf numFmtId="0" fontId="14" fillId="10" borderId="2" xfId="0" applyFont="1" applyFill="1" applyBorder="1" applyAlignment="1">
      <alignment horizontal="left" vertical="center"/>
    </xf>
    <xf numFmtId="0" fontId="14" fillId="10" borderId="2" xfId="0" applyFont="1" applyFill="1" applyBorder="1" applyAlignment="1">
      <alignment horizontal="left"/>
    </xf>
    <xf numFmtId="0" fontId="14" fillId="0" borderId="2" xfId="0" applyFont="1" applyBorder="1"/>
    <xf numFmtId="2" fontId="15" fillId="11" borderId="2" xfId="0" applyNumberFormat="1" applyFont="1" applyFill="1" applyBorder="1" applyAlignment="1" applyProtection="1">
      <alignment horizontal="center" vertical="center" wrapText="1"/>
      <protection locked="0"/>
    </xf>
    <xf numFmtId="2" fontId="15" fillId="11" borderId="2" xfId="0" applyNumberFormat="1" applyFont="1" applyFill="1" applyBorder="1" applyAlignment="1" applyProtection="1">
      <alignment horizontal="left" vertical="center" wrapText="1"/>
      <protection locked="0"/>
    </xf>
    <xf numFmtId="0" fontId="14" fillId="10" borderId="2" xfId="0" applyFont="1" applyFill="1" applyBorder="1" applyAlignment="1">
      <alignment horizontal="center"/>
    </xf>
    <xf numFmtId="0" fontId="14" fillId="10" borderId="2" xfId="0" applyFont="1" applyFill="1" applyBorder="1" applyAlignment="1">
      <alignment horizontal="center" vertical="center"/>
    </xf>
    <xf numFmtId="0" fontId="16" fillId="10" borderId="2" xfId="0" applyFont="1" applyFill="1" applyBorder="1"/>
    <xf numFmtId="0" fontId="16" fillId="10" borderId="2" xfId="0" applyFont="1" applyFill="1" applyBorder="1" applyAlignment="1">
      <alignment horizontal="left"/>
    </xf>
    <xf numFmtId="0" fontId="17" fillId="10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left" vertical="center"/>
    </xf>
    <xf numFmtId="0" fontId="18" fillId="10" borderId="2" xfId="0" applyFont="1" applyFill="1" applyBorder="1"/>
    <xf numFmtId="0" fontId="16" fillId="10" borderId="2" xfId="0" applyFont="1" applyFill="1" applyBorder="1" applyAlignment="1">
      <alignment horizontal="center"/>
    </xf>
    <xf numFmtId="0" fontId="18" fillId="10" borderId="2" xfId="0" applyFont="1" applyFill="1" applyBorder="1" applyAlignment="1">
      <alignment horizontal="center"/>
    </xf>
    <xf numFmtId="0" fontId="17" fillId="10" borderId="2" xfId="0" applyFont="1" applyFill="1" applyBorder="1" applyAlignment="1">
      <alignment horizontal="left"/>
    </xf>
    <xf numFmtId="0" fontId="19" fillId="0" borderId="2" xfId="0" applyFont="1" applyBorder="1" applyAlignment="1">
      <alignment horizontal="center"/>
    </xf>
    <xf numFmtId="0" fontId="19" fillId="0" borderId="2" xfId="0" applyFont="1" applyBorder="1" applyAlignment="1">
      <alignment horizontal="left"/>
    </xf>
    <xf numFmtId="0" fontId="19" fillId="10" borderId="2" xfId="0" applyFont="1" applyFill="1" applyBorder="1" applyAlignment="1">
      <alignment horizontal="center"/>
    </xf>
    <xf numFmtId="0" fontId="19" fillId="10" borderId="2" xfId="0" applyFont="1" applyFill="1" applyBorder="1" applyAlignment="1">
      <alignment horizontal="left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/>
    <xf numFmtId="0" fontId="20" fillId="0" borderId="2" xfId="0" applyFont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16" fillId="0" borderId="2" xfId="0" applyFont="1" applyBorder="1"/>
    <xf numFmtId="0" fontId="2" fillId="0" borderId="2" xfId="0" applyFont="1" applyBorder="1" applyAlignment="1">
      <alignment vertical="center"/>
    </xf>
    <xf numFmtId="10" fontId="0" fillId="0" borderId="14" xfId="0" applyNumberFormat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0" fontId="8" fillId="12" borderId="2" xfId="0" applyFont="1" applyFill="1" applyBorder="1"/>
    <xf numFmtId="0" fontId="0" fillId="13" borderId="2" xfId="0" applyFill="1" applyBorder="1"/>
    <xf numFmtId="0" fontId="0" fillId="0" borderId="2" xfId="0" applyBorder="1" applyAlignment="1">
      <alignment horizontal="left"/>
    </xf>
    <xf numFmtId="0" fontId="21" fillId="0" borderId="0" xfId="0" applyFont="1"/>
    <xf numFmtId="0" fontId="6" fillId="14" borderId="9" xfId="0" applyFont="1" applyFill="1" applyBorder="1" applyAlignment="1">
      <alignment horizontal="left" vertical="center" wrapText="1"/>
    </xf>
    <xf numFmtId="0" fontId="6" fillId="15" borderId="9" xfId="0" applyFont="1" applyFill="1" applyBorder="1" applyAlignment="1">
      <alignment horizontal="left" vertical="center" wrapText="1"/>
    </xf>
    <xf numFmtId="0" fontId="6" fillId="16" borderId="9" xfId="0" applyFont="1" applyFill="1" applyBorder="1" applyAlignment="1">
      <alignment horizontal="center" vertical="center" wrapText="1"/>
    </xf>
    <xf numFmtId="0" fontId="6" fillId="17" borderId="9" xfId="0" applyFont="1" applyFill="1" applyBorder="1" applyAlignment="1">
      <alignment horizontal="center" vertical="center" wrapText="1"/>
    </xf>
    <xf numFmtId="0" fontId="6" fillId="17" borderId="10" xfId="0" applyFont="1" applyFill="1" applyBorder="1" applyAlignment="1">
      <alignment horizontal="center" vertical="center" wrapText="1"/>
    </xf>
    <xf numFmtId="0" fontId="0" fillId="0" borderId="25" xfId="0" applyBorder="1"/>
    <xf numFmtId="3" fontId="0" fillId="0" borderId="0" xfId="0" applyNumberFormat="1"/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16" borderId="7" xfId="0" applyFont="1" applyFill="1" applyBorder="1" applyAlignment="1">
      <alignment horizontal="center" vertical="center"/>
    </xf>
    <xf numFmtId="0" fontId="7" fillId="16" borderId="5" xfId="0" applyFont="1" applyFill="1" applyBorder="1" applyAlignment="1">
      <alignment horizontal="center" vertical="center"/>
    </xf>
    <xf numFmtId="0" fontId="7" fillId="16" borderId="6" xfId="0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/>
    </xf>
    <xf numFmtId="0" fontId="8" fillId="17" borderId="0" xfId="0" applyFont="1" applyFill="1" applyAlignment="1">
      <alignment horizontal="center"/>
    </xf>
    <xf numFmtId="0" fontId="7" fillId="14" borderId="7" xfId="0" applyFont="1" applyFill="1" applyBorder="1" applyAlignment="1">
      <alignment horizontal="center" vertical="center"/>
    </xf>
    <xf numFmtId="0" fontId="7" fillId="14" borderId="5" xfId="0" applyFont="1" applyFill="1" applyBorder="1" applyAlignment="1">
      <alignment horizontal="center" vertical="center"/>
    </xf>
    <xf numFmtId="0" fontId="7" fillId="15" borderId="5" xfId="0" applyFont="1" applyFill="1" applyBorder="1" applyAlignment="1">
      <alignment horizontal="center" vertical="center"/>
    </xf>
    <xf numFmtId="0" fontId="7" fillId="1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0" borderId="22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7" fillId="6" borderId="20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9" fillId="0" borderId="17" xfId="0" applyFont="1" applyBorder="1" applyAlignment="1">
      <alignment horizontal="center" wrapText="1" readingOrder="1"/>
    </xf>
    <xf numFmtId="0" fontId="9" fillId="0" borderId="18" xfId="0" applyFont="1" applyBorder="1" applyAlignment="1">
      <alignment horizontal="center" wrapText="1" readingOrder="1"/>
    </xf>
    <xf numFmtId="0" fontId="9" fillId="0" borderId="19" xfId="0" applyFont="1" applyBorder="1" applyAlignment="1">
      <alignment horizontal="center" wrapText="1" readingOrder="1"/>
    </xf>
    <xf numFmtId="0" fontId="8" fillId="7" borderId="14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8" fillId="8" borderId="10" xfId="0" applyFont="1" applyFill="1" applyBorder="1" applyAlignment="1">
      <alignment horizontal="center"/>
    </xf>
    <xf numFmtId="0" fontId="8" fillId="8" borderId="22" xfId="0" applyFont="1" applyFill="1" applyBorder="1" applyAlignment="1">
      <alignment horizontal="center"/>
    </xf>
    <xf numFmtId="0" fontId="8" fillId="7" borderId="23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0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4 Years Savings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 Years Trend'!$B$1:$B$2</c:f>
              <c:strCache>
                <c:ptCount val="2"/>
                <c:pt idx="0">
                  <c:v>Monetization</c:v>
                </c:pt>
                <c:pt idx="1">
                  <c:v>Savings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 Years Trend'!$A$3:$A$6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'3 Years Trend'!$B$3:$B$6</c:f>
              <c:numCache>
                <c:formatCode>General</c:formatCode>
                <c:ptCount val="4"/>
                <c:pt idx="0">
                  <c:v>52196</c:v>
                </c:pt>
                <c:pt idx="1">
                  <c:v>77725</c:v>
                </c:pt>
                <c:pt idx="2">
                  <c:v>100456.29000000001</c:v>
                </c:pt>
                <c:pt idx="3">
                  <c:v>152115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7-4912-8FC0-1F503BED89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6630783"/>
        <c:axId val="64662838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'3 Years Trend'!$C$1:$C$2</c15:sqref>
                        </c15:formulaRef>
                      </c:ext>
                    </c:extLst>
                    <c:strCache>
                      <c:ptCount val="2"/>
                      <c:pt idx="0">
                        <c:v>Monetization</c:v>
                      </c:pt>
                      <c:pt idx="1">
                        <c:v>Billablity Hour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'3 Years Trend'!$A$3:$A$6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'3 Years Trend'!$C$3:$C$6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1149593</c:v>
                      </c:pt>
                      <c:pt idx="1">
                        <c:v>964557</c:v>
                      </c:pt>
                      <c:pt idx="2">
                        <c:v>716358</c:v>
                      </c:pt>
                      <c:pt idx="3" formatCode="#,##0">
                        <c:v>778770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FDF7-4912-8FC0-1F503BED894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'3 Years Trend'!$D$1:$D$2</c:f>
              <c:strCache>
                <c:ptCount val="2"/>
                <c:pt idx="0">
                  <c:v>Monetization</c:v>
                </c:pt>
                <c:pt idx="1">
                  <c:v>Savings Percentage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'3 Years Trend'!$A$3:$A$6</c:f>
              <c:numCache>
                <c:formatCode>General</c:formatCod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numCache>
            </c:numRef>
          </c:cat>
          <c:val>
            <c:numRef>
              <c:f>'3 Years Trend'!$D$3:$D$6</c:f>
              <c:numCache>
                <c:formatCode>0.00%</c:formatCode>
                <c:ptCount val="4"/>
                <c:pt idx="0">
                  <c:v>4.5403895117663379E-2</c:v>
                </c:pt>
                <c:pt idx="1">
                  <c:v>8.058103357292519E-2</c:v>
                </c:pt>
                <c:pt idx="2">
                  <c:v>0.1447</c:v>
                </c:pt>
                <c:pt idx="3">
                  <c:v>0.19532724681228089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F7-4912-8FC0-1F503BED894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46634143"/>
        <c:axId val="646633663"/>
      </c:lineChart>
      <c:catAx>
        <c:axId val="64663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28383"/>
        <c:crosses val="autoZero"/>
        <c:auto val="1"/>
        <c:lblAlgn val="ctr"/>
        <c:lblOffset val="100"/>
        <c:noMultiLvlLbl val="0"/>
      </c:catAx>
      <c:valAx>
        <c:axId val="64662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30783"/>
        <c:crosses val="autoZero"/>
        <c:crossBetween val="between"/>
      </c:valAx>
      <c:valAx>
        <c:axId val="64663366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634143"/>
        <c:crosses val="max"/>
        <c:crossBetween val="between"/>
      </c:valAx>
      <c:catAx>
        <c:axId val="6466341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66336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Monetization Savings in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Data 2026'!$H$2</c:f>
              <c:strCache>
                <c:ptCount val="1"/>
                <c:pt idx="0">
                  <c:v>Total Savings - Billing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2026'!$A$3:$A$15</c15:sqref>
                  </c15:fullRef>
                </c:ext>
              </c:extLst>
              <c:f>'Monthly Data 2026'!$A$3:$A$5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2026'!$H$3:$H$15</c15:sqref>
                  </c15:fullRef>
                </c:ext>
              </c:extLst>
              <c:f>'Monthly Data 2026'!$H$3:$H$5</c:f>
              <c:numCache>
                <c:formatCode>General</c:formatCode>
                <c:ptCount val="3"/>
                <c:pt idx="0">
                  <c:v>58.38</c:v>
                </c:pt>
                <c:pt idx="1">
                  <c:v>1379.1</c:v>
                </c:pt>
                <c:pt idx="2">
                  <c:v>1221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D-4A02-B429-C230498CDE58}"/>
            </c:ext>
          </c:extLst>
        </c:ser>
        <c:ser>
          <c:idx val="1"/>
          <c:order val="1"/>
          <c:tx>
            <c:strRef>
              <c:f>'Monthly Data 2026'!$P$2</c:f>
              <c:strCache>
                <c:ptCount val="1"/>
                <c:pt idx="0">
                  <c:v>Total Savings - Charging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2026'!$A$3:$A$15</c15:sqref>
                  </c15:fullRef>
                </c:ext>
              </c:extLst>
              <c:f>'Monthly Data 2026'!$A$3:$A$5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2026'!$P$3:$P$15</c15:sqref>
                  </c15:fullRef>
                </c:ext>
              </c:extLst>
              <c:f>'Monthly Data 2026'!$P$3:$P$5</c:f>
              <c:numCache>
                <c:formatCode>General</c:formatCode>
                <c:ptCount val="3"/>
                <c:pt idx="0">
                  <c:v>4161.0499999999993</c:v>
                </c:pt>
                <c:pt idx="1">
                  <c:v>1032.71</c:v>
                </c:pt>
                <c:pt idx="2">
                  <c:v>3087.26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3D-4A02-B429-C230498CDE58}"/>
            </c:ext>
          </c:extLst>
        </c:ser>
        <c:ser>
          <c:idx val="2"/>
          <c:order val="2"/>
          <c:tx>
            <c:strRef>
              <c:f>'Monthly Data 2026'!$X$2</c:f>
              <c:strCache>
                <c:ptCount val="1"/>
                <c:pt idx="0">
                  <c:v>Total Savings - SDC CS&amp;DFE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2026'!$A$3:$A$15</c15:sqref>
                  </c15:fullRef>
                </c:ext>
              </c:extLst>
              <c:f>'Monthly Data 2026'!$A$3:$A$5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2026'!$X$3:$X$15</c15:sqref>
                  </c15:fullRef>
                </c:ext>
              </c:extLst>
              <c:f>'Monthly Data 2026'!$X$3:$X$5</c:f>
              <c:numCache>
                <c:formatCode>General</c:formatCode>
                <c:ptCount val="3"/>
                <c:pt idx="0">
                  <c:v>1476</c:v>
                </c:pt>
                <c:pt idx="1">
                  <c:v>2344</c:v>
                </c:pt>
                <c:pt idx="2">
                  <c:v>5366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3D-4A02-B429-C230498CDE58}"/>
            </c:ext>
          </c:extLst>
        </c:ser>
        <c:ser>
          <c:idx val="3"/>
          <c:order val="3"/>
          <c:tx>
            <c:strRef>
              <c:f>'Monthly Data 2026'!$AF$2</c:f>
              <c:strCache>
                <c:ptCount val="1"/>
                <c:pt idx="0">
                  <c:v>Total Savings - SDC Billing&amp;MW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2026'!$A$3:$A$15</c15:sqref>
                  </c15:fullRef>
                </c:ext>
              </c:extLst>
              <c:f>'Monthly Data 2026'!$A$3:$A$5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2026'!$AF$3:$AF$15</c15:sqref>
                  </c15:fullRef>
                </c:ext>
              </c:extLst>
              <c:f>'Monthly Data 2026'!$AF$3:$AF$5</c:f>
              <c:numCache>
                <c:formatCode>General</c:formatCode>
                <c:ptCount val="3"/>
                <c:pt idx="0">
                  <c:v>0</c:v>
                </c:pt>
                <c:pt idx="1">
                  <c:v>195.4</c:v>
                </c:pt>
                <c:pt idx="2">
                  <c:v>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3D-4A02-B429-C230498CDE58}"/>
            </c:ext>
          </c:extLst>
        </c:ser>
        <c:ser>
          <c:idx val="4"/>
          <c:order val="4"/>
          <c:tx>
            <c:strRef>
              <c:f>'Monthly Data 2026'!$AI$2</c:f>
              <c:strCache>
                <c:ptCount val="1"/>
                <c:pt idx="0">
                  <c:v>Total Savings - Monetization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2026'!$A$3:$A$15</c15:sqref>
                  </c15:fullRef>
                </c:ext>
              </c:extLst>
              <c:f>'Monthly Data 2026'!$A$3:$A$5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2026'!$AI$3:$AI$15</c15:sqref>
                  </c15:fullRef>
                </c:ext>
              </c:extLst>
              <c:f>'Monthly Data 2026'!$AI$3:$AI$5</c:f>
              <c:numCache>
                <c:formatCode>General</c:formatCode>
                <c:ptCount val="3"/>
                <c:pt idx="0">
                  <c:v>5695.4299999999994</c:v>
                </c:pt>
                <c:pt idx="1">
                  <c:v>4951.2099999999991</c:v>
                </c:pt>
                <c:pt idx="2">
                  <c:v>13000.26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3D-4A02-B429-C230498CDE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67026096"/>
        <c:axId val="467019856"/>
      </c:barChart>
      <c:catAx>
        <c:axId val="46702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19856"/>
        <c:crosses val="autoZero"/>
        <c:auto val="1"/>
        <c:lblAlgn val="ctr"/>
        <c:lblOffset val="100"/>
        <c:noMultiLvlLbl val="0"/>
      </c:catAx>
      <c:valAx>
        <c:axId val="46701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02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Monetization Savings %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8"/>
          <c:order val="1"/>
          <c:tx>
            <c:strRef>
              <c:f>'Monthly Data 2026'!$J$2</c:f>
              <c:strCache>
                <c:ptCount val="1"/>
                <c:pt idx="0">
                  <c:v>Billing Savings 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2026'!$A$3:$A$15</c15:sqref>
                  </c15:fullRef>
                </c:ext>
              </c:extLst>
              <c:f>('Monthly Data 2026'!$A$3:$A$5,'Monthly Data 2026'!$A$15)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YTD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2026'!$J$3:$J$15</c15:sqref>
                  </c15:fullRef>
                </c:ext>
              </c:extLst>
              <c:f>('Monthly Data 2026'!$J$3:$J$5,'Monthly Data 2026'!$J$15)</c:f>
              <c:numCache>
                <c:formatCode>0%</c:formatCode>
                <c:ptCount val="4"/>
                <c:pt idx="0">
                  <c:v>6.0555454710473772E-3</c:v>
                </c:pt>
                <c:pt idx="1">
                  <c:v>0.12871943251820048</c:v>
                </c:pt>
                <c:pt idx="2">
                  <c:v>0.1030032056689725</c:v>
                </c:pt>
                <c:pt idx="3">
                  <c:v>8.2539061590406332E-2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21-42CF-AD4B-3A09E70F6C16}"/>
            </c:ext>
          </c:extLst>
        </c:ser>
        <c:ser>
          <c:idx val="16"/>
          <c:order val="2"/>
          <c:tx>
            <c:strRef>
              <c:f>'Monthly Data 2026'!$R$2</c:f>
              <c:strCache>
                <c:ptCount val="1"/>
                <c:pt idx="0">
                  <c:v>Charging Savings %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2026'!$A$3:$A$15</c15:sqref>
                  </c15:fullRef>
                </c:ext>
              </c:extLst>
              <c:f>('Monthly Data 2026'!$A$3:$A$5,'Monthly Data 2026'!$A$15)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YTD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2026'!$R$3:$R$15</c15:sqref>
                  </c15:fullRef>
                </c:ext>
              </c:extLst>
              <c:f>('Monthly Data 2026'!$R$3:$R$5,'Monthly Data 2026'!$R$15)</c:f>
              <c:numCache>
                <c:formatCode>0%</c:formatCode>
                <c:ptCount val="4"/>
                <c:pt idx="0">
                  <c:v>0.11286039762402016</c:v>
                </c:pt>
                <c:pt idx="1">
                  <c:v>2.5878564626873154E-2</c:v>
                </c:pt>
                <c:pt idx="2">
                  <c:v>6.9489060952552445E-2</c:v>
                </c:pt>
                <c:pt idx="3">
                  <c:v>6.8323556347615166E-2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21-42CF-AD4B-3A09E70F6C16}"/>
            </c:ext>
          </c:extLst>
        </c:ser>
        <c:ser>
          <c:idx val="24"/>
          <c:order val="3"/>
          <c:tx>
            <c:strRef>
              <c:f>'Monthly Data 2026'!$Z$2</c:f>
              <c:strCache>
                <c:ptCount val="1"/>
                <c:pt idx="0">
                  <c:v>SDC CS&amp;DFE Savings %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2026'!$A$3:$A$15</c15:sqref>
                  </c15:fullRef>
                </c:ext>
              </c:extLst>
              <c:f>('Monthly Data 2026'!$A$3:$A$5,'Monthly Data 2026'!$A$15)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YTD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2026'!$Z$3:$Z$15</c15:sqref>
                  </c15:fullRef>
                </c:ext>
              </c:extLst>
              <c:f>('Monthly Data 2026'!$Z$3:$Z$5,'Monthly Data 2026'!$Z$15)</c:f>
              <c:numCache>
                <c:formatCode>0%</c:formatCode>
                <c:ptCount val="4"/>
                <c:pt idx="0">
                  <c:v>8.179551122194513E-2</c:v>
                </c:pt>
                <c:pt idx="1">
                  <c:v>0.12086212230586779</c:v>
                </c:pt>
                <c:pt idx="2">
                  <c:v>0.25322070690387427</c:v>
                </c:pt>
                <c:pt idx="3">
                  <c:v>0.15667746887259082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21-42CF-AD4B-3A09E70F6C16}"/>
            </c:ext>
          </c:extLst>
        </c:ser>
        <c:ser>
          <c:idx val="32"/>
          <c:order val="4"/>
          <c:tx>
            <c:strRef>
              <c:f>'Monthly Data 2026'!$AH$2</c:f>
              <c:strCache>
                <c:ptCount val="1"/>
                <c:pt idx="0">
                  <c:v>SDC Billing&amp;MW Savings %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2026'!$A$3:$A$15</c15:sqref>
                  </c15:fullRef>
                </c:ext>
              </c:extLst>
              <c:f>('Monthly Data 2026'!$A$3:$A$5,'Monthly Data 2026'!$A$15)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YTD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2026'!$AH$3:$AH$15</c15:sqref>
                  </c15:fullRef>
                </c:ext>
              </c:extLst>
              <c:f>('Monthly Data 2026'!$AH$3:$AH$5,'Monthly Data 2026'!$AH$15)</c:f>
              <c:numCache>
                <c:formatCode>0.00%</c:formatCode>
                <c:ptCount val="4"/>
                <c:pt idx="0">
                  <c:v>0</c:v>
                </c:pt>
                <c:pt idx="1">
                  <c:v>2.120639881921382E-2</c:v>
                </c:pt>
                <c:pt idx="2">
                  <c:v>0.35911333772417586</c:v>
                </c:pt>
                <c:pt idx="3" formatCode="0%">
                  <c:v>0.1329505477121587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21-42CF-AD4B-3A09E70F6C16}"/>
            </c:ext>
          </c:extLst>
        </c:ser>
        <c:ser>
          <c:idx val="35"/>
          <c:order val="5"/>
          <c:tx>
            <c:strRef>
              <c:f>'Monthly Data 2026'!$AK$2</c:f>
              <c:strCache>
                <c:ptCount val="1"/>
                <c:pt idx="0">
                  <c:v>Monetization Savings %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2026'!$A$3:$A$15</c15:sqref>
                  </c15:fullRef>
                </c:ext>
              </c:extLst>
              <c:f>('Monthly Data 2026'!$A$3:$A$5,'Monthly Data 2026'!$A$15)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YTD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2026'!$AK$3:$AK$15</c15:sqref>
                  </c15:fullRef>
                </c:ext>
              </c:extLst>
              <c:f>('Monthly Data 2026'!$AK$3:$AK$5,'Monthly Data 2026'!$AK$15)</c:f>
              <c:numCache>
                <c:formatCode>0.00%</c:formatCode>
                <c:ptCount val="4"/>
                <c:pt idx="0">
                  <c:v>7.8486865432680783E-2</c:v>
                </c:pt>
                <c:pt idx="1">
                  <c:v>6.249302647289727E-2</c:v>
                </c:pt>
                <c:pt idx="2">
                  <c:v>0.14988534000809364</c:v>
                </c:pt>
                <c:pt idx="3">
                  <c:v>9.9136668442975903E-2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21-42CF-AD4B-3A09E70F6C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49754816"/>
        <c:axId val="549745696"/>
      </c:barChart>
      <c:lineChart>
        <c:grouping val="standard"/>
        <c:varyColors val="0"/>
        <c:ser>
          <c:idx val="0"/>
          <c:order val="0"/>
          <c:tx>
            <c:strRef>
              <c:f>'Monthly Data 2026'!$B$2</c:f>
              <c:strCache>
                <c:ptCount val="1"/>
                <c:pt idx="0">
                  <c:v>Monetization KPI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2026'!$A$3:$A$15</c15:sqref>
                  </c15:fullRef>
                </c:ext>
              </c:extLst>
              <c:f>('Monthly Data 2026'!$A$3:$A$5,'Monthly Data 2026'!$A$15)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YTD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2026'!$B$3:$B$15</c15:sqref>
                  </c15:fullRef>
                </c:ext>
              </c:extLst>
              <c:f>('Monthly Data 2026'!$B$3:$B$5,'Monthly Data 2026'!$B$15)</c:f>
              <c:numCache>
                <c:formatCode>0.00%</c:formatCode>
                <c:ptCount val="4"/>
                <c:pt idx="0">
                  <c:v>0.16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21-42CF-AD4B-3A09E70F6C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49754816"/>
        <c:axId val="549745696"/>
      </c:lineChart>
      <c:catAx>
        <c:axId val="54975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45696"/>
        <c:crosses val="autoZero"/>
        <c:auto val="1"/>
        <c:lblAlgn val="ctr"/>
        <c:lblOffset val="100"/>
        <c:noMultiLvlLbl val="0"/>
      </c:catAx>
      <c:valAx>
        <c:axId val="54974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75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Monetization Savings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'Monthly Data 2025'!$J$2</c:f>
              <c:strCache>
                <c:ptCount val="1"/>
                <c:pt idx="0">
                  <c:v>Billing Savings %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2025'!$A$3:$A$19</c15:sqref>
                  </c15:fullRef>
                </c:ext>
              </c:extLst>
              <c:f>'Monthly Data 2025'!$A$3:$A$15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2025'!$J$3:$J$19</c15:sqref>
                  </c15:fullRef>
                </c:ext>
              </c:extLst>
              <c:f>'Monthly Data 2025'!$J$3:$J$15</c:f>
              <c:numCache>
                <c:formatCode>0%</c:formatCode>
                <c:ptCount val="13"/>
                <c:pt idx="0">
                  <c:v>2.8728849868833482E-2</c:v>
                </c:pt>
                <c:pt idx="1">
                  <c:v>2.2625559423172553E-2</c:v>
                </c:pt>
                <c:pt idx="2">
                  <c:v>2.4433497536945816E-2</c:v>
                </c:pt>
                <c:pt idx="3">
                  <c:v>0.11016084928422068</c:v>
                </c:pt>
                <c:pt idx="4">
                  <c:v>3.9743775332947311E-2</c:v>
                </c:pt>
                <c:pt idx="5">
                  <c:v>1.8703805091705446E-2</c:v>
                </c:pt>
                <c:pt idx="6">
                  <c:v>5.2003570720095212E-2</c:v>
                </c:pt>
                <c:pt idx="7">
                  <c:v>3.9903857029747768E-2</c:v>
                </c:pt>
                <c:pt idx="8">
                  <c:v>4.1441346659652809E-2</c:v>
                </c:pt>
                <c:pt idx="9">
                  <c:v>2.3674242424242424E-2</c:v>
                </c:pt>
                <c:pt idx="10">
                  <c:v>0.20684910564133924</c:v>
                </c:pt>
                <c:pt idx="11">
                  <c:v>0.35382291424587498</c:v>
                </c:pt>
                <c:pt idx="12">
                  <c:v>8.123600581318996E-2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9-4FDA-8240-84BACC862C73}"/>
            </c:ext>
          </c:extLst>
        </c:ser>
        <c:ser>
          <c:idx val="2"/>
          <c:order val="2"/>
          <c:tx>
            <c:strRef>
              <c:f>'Monthly Data 2025'!$R$2</c:f>
              <c:strCache>
                <c:ptCount val="1"/>
                <c:pt idx="0">
                  <c:v>Charging Savings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2025'!$A$3:$A$19</c15:sqref>
                  </c15:fullRef>
                </c:ext>
              </c:extLst>
              <c:f>'Monthly Data 2025'!$A$3:$A$15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2025'!$R$3:$R$19</c15:sqref>
                  </c15:fullRef>
                </c:ext>
              </c:extLst>
              <c:f>'Monthly Data 2025'!$R$3:$R$15</c:f>
              <c:numCache>
                <c:formatCode>0.00%</c:formatCode>
                <c:ptCount val="13"/>
                <c:pt idx="0">
                  <c:v>9.4932867101517493E-2</c:v>
                </c:pt>
                <c:pt idx="1">
                  <c:v>0.14210614753114573</c:v>
                </c:pt>
                <c:pt idx="2">
                  <c:v>9.0075129280905455E-2</c:v>
                </c:pt>
                <c:pt idx="3">
                  <c:v>0.15641895249453389</c:v>
                </c:pt>
                <c:pt idx="4">
                  <c:v>0.15190742329723336</c:v>
                </c:pt>
                <c:pt idx="5">
                  <c:v>0.13056560478457219</c:v>
                </c:pt>
                <c:pt idx="6">
                  <c:v>0.12474774671990872</c:v>
                </c:pt>
                <c:pt idx="7">
                  <c:v>9.2920740268028088E-2</c:v>
                </c:pt>
                <c:pt idx="8">
                  <c:v>5.5795790615141963E-2</c:v>
                </c:pt>
                <c:pt idx="9">
                  <c:v>4.6792840822543792E-2</c:v>
                </c:pt>
                <c:pt idx="10">
                  <c:v>5.036563513971621E-2</c:v>
                </c:pt>
                <c:pt idx="11">
                  <c:v>0.15133931583563862</c:v>
                </c:pt>
                <c:pt idx="12">
                  <c:v>0.10673955938934063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79-4FDA-8240-84BACC862C73}"/>
            </c:ext>
          </c:extLst>
        </c:ser>
        <c:ser>
          <c:idx val="3"/>
          <c:order val="3"/>
          <c:tx>
            <c:strRef>
              <c:f>'Monthly Data 2025'!$U$2</c:f>
              <c:strCache>
                <c:ptCount val="1"/>
                <c:pt idx="0">
                  <c:v>Monetization Savings %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2025'!$A$3:$A$19</c15:sqref>
                  </c15:fullRef>
                </c:ext>
              </c:extLst>
              <c:f>'Monthly Data 2025'!$A$3:$A$15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2025'!$U$3:$U$19</c15:sqref>
                  </c15:fullRef>
                </c:ext>
              </c:extLst>
              <c:f>'Monthly Data 2025'!$U$3:$U$15</c:f>
              <c:numCache>
                <c:formatCode>0.00%</c:formatCode>
                <c:ptCount val="13"/>
                <c:pt idx="0">
                  <c:v>8.6342591463741736E-2</c:v>
                </c:pt>
                <c:pt idx="1">
                  <c:v>0.12699194833515054</c:v>
                </c:pt>
                <c:pt idx="2">
                  <c:v>8.1585184555918955E-2</c:v>
                </c:pt>
                <c:pt idx="3">
                  <c:v>0.15022963520929733</c:v>
                </c:pt>
                <c:pt idx="4">
                  <c:v>0.13641987647164644</c:v>
                </c:pt>
                <c:pt idx="5">
                  <c:v>0.11363489465724762</c:v>
                </c:pt>
                <c:pt idx="6">
                  <c:v>0.11114270873912478</c:v>
                </c:pt>
                <c:pt idx="7">
                  <c:v>8.3158947017660786E-2</c:v>
                </c:pt>
                <c:pt idx="8">
                  <c:v>5.307142429264592E-2</c:v>
                </c:pt>
                <c:pt idx="9">
                  <c:v>4.2502377703345327E-2</c:v>
                </c:pt>
                <c:pt idx="10">
                  <c:v>7.1761533476870337E-2</c:v>
                </c:pt>
                <c:pt idx="11">
                  <c:v>0.196899184271073</c:v>
                </c:pt>
                <c:pt idx="12">
                  <c:v>0.10268574294797266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79-4FDA-8240-84BACC862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2919648"/>
        <c:axId val="2102943200"/>
      </c:barChart>
      <c:lineChart>
        <c:grouping val="standard"/>
        <c:varyColors val="0"/>
        <c:ser>
          <c:idx val="0"/>
          <c:order val="0"/>
          <c:tx>
            <c:strRef>
              <c:f>'Monthly Data 2025'!$B$2</c:f>
              <c:strCache>
                <c:ptCount val="1"/>
                <c:pt idx="0">
                  <c:v>Monetization KPI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2025'!$A$3:$A$19</c15:sqref>
                  </c15:fullRef>
                </c:ext>
              </c:extLst>
              <c:f>'Monthly Data 2025'!$A$3:$A$15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2025'!$B$3:$B$19</c15:sqref>
                  </c15:fullRef>
                </c:ext>
              </c:extLst>
              <c:f>'Monthly Data 2025'!$B$3:$B$15</c:f>
              <c:numCache>
                <c:formatCode>0.00%</c:formatCode>
                <c:ptCount val="13"/>
                <c:pt idx="0">
                  <c:v>0.16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4">
                  <c:v>0.16</c:v>
                </c:pt>
                <c:pt idx="5">
                  <c:v>0.16</c:v>
                </c:pt>
                <c:pt idx="6">
                  <c:v>0.16</c:v>
                </c:pt>
                <c:pt idx="7">
                  <c:v>0.16</c:v>
                </c:pt>
                <c:pt idx="8">
                  <c:v>0.16</c:v>
                </c:pt>
                <c:pt idx="9">
                  <c:v>0.16</c:v>
                </c:pt>
                <c:pt idx="10">
                  <c:v>0.16</c:v>
                </c:pt>
                <c:pt idx="11">
                  <c:v>0.16</c:v>
                </c:pt>
                <c:pt idx="12">
                  <c:v>0.16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2F79-4FDA-8240-84BACC862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2919648"/>
        <c:axId val="2102943200"/>
        <c:extLst/>
      </c:lineChart>
      <c:catAx>
        <c:axId val="198291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943200"/>
        <c:crosses val="autoZero"/>
        <c:auto val="1"/>
        <c:lblAlgn val="ctr"/>
        <c:lblOffset val="100"/>
        <c:noMultiLvlLbl val="0"/>
      </c:catAx>
      <c:valAx>
        <c:axId val="210294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91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Monetization Download / Pending Feedback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'Monthly Data 2025'!$C$2</c:f>
              <c:strCache>
                <c:ptCount val="1"/>
                <c:pt idx="0">
                  <c:v>Total Number of Assets Download - Billing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2025'!$A$3:$A$15</c15:sqref>
                  </c15:fullRef>
                </c:ext>
              </c:extLst>
              <c:f>'Monthly Data 2025'!$A$3:$A$14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2025'!$C$3:$C$15</c15:sqref>
                  </c15:fullRef>
                </c:ext>
              </c:extLst>
              <c:f>'Monthly Data 2025'!$C$3:$C$14</c:f>
              <c:numCache>
                <c:formatCode>General</c:formatCode>
                <c:ptCount val="12"/>
                <c:pt idx="0">
                  <c:v>20</c:v>
                </c:pt>
                <c:pt idx="1">
                  <c:v>20</c:v>
                </c:pt>
                <c:pt idx="2">
                  <c:v>9</c:v>
                </c:pt>
                <c:pt idx="3">
                  <c:v>20</c:v>
                </c:pt>
                <c:pt idx="4">
                  <c:v>29</c:v>
                </c:pt>
                <c:pt idx="5">
                  <c:v>22</c:v>
                </c:pt>
                <c:pt idx="6">
                  <c:v>34</c:v>
                </c:pt>
                <c:pt idx="7">
                  <c:v>17</c:v>
                </c:pt>
                <c:pt idx="8">
                  <c:v>8</c:v>
                </c:pt>
                <c:pt idx="9">
                  <c:v>39</c:v>
                </c:pt>
                <c:pt idx="10">
                  <c:v>27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0-4523-8373-27B2F3AD74FB}"/>
            </c:ext>
          </c:extLst>
        </c:ser>
        <c:ser>
          <c:idx val="9"/>
          <c:order val="9"/>
          <c:tx>
            <c:strRef>
              <c:f>'Monthly Data 2025'!$K$2</c:f>
              <c:strCache>
                <c:ptCount val="1"/>
                <c:pt idx="0">
                  <c:v>Total Number of Assets Download - Charging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2025'!$A$3:$A$15</c15:sqref>
                  </c15:fullRef>
                </c:ext>
              </c:extLst>
              <c:f>'Monthly Data 2025'!$A$3:$A$14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2025'!$K$3:$K$15</c15:sqref>
                  </c15:fullRef>
                </c:ext>
              </c:extLst>
              <c:f>'Monthly Data 2025'!$K$3:$K$14</c:f>
              <c:numCache>
                <c:formatCode>General</c:formatCode>
                <c:ptCount val="12"/>
                <c:pt idx="0">
                  <c:v>285</c:v>
                </c:pt>
                <c:pt idx="1">
                  <c:v>213</c:v>
                </c:pt>
                <c:pt idx="2">
                  <c:v>223</c:v>
                </c:pt>
                <c:pt idx="3">
                  <c:v>258</c:v>
                </c:pt>
                <c:pt idx="4">
                  <c:v>355</c:v>
                </c:pt>
                <c:pt idx="5">
                  <c:v>277</c:v>
                </c:pt>
                <c:pt idx="6">
                  <c:v>309</c:v>
                </c:pt>
                <c:pt idx="7">
                  <c:v>229</c:v>
                </c:pt>
                <c:pt idx="8">
                  <c:v>153</c:v>
                </c:pt>
                <c:pt idx="9">
                  <c:v>99</c:v>
                </c:pt>
                <c:pt idx="10">
                  <c:v>96</c:v>
                </c:pt>
                <c:pt idx="11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B0-4523-8373-27B2F3AD74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02195520"/>
        <c:axId val="19706500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'Monthly Data 2025'!$B$2</c15:sqref>
                        </c15:formulaRef>
                      </c:ext>
                    </c:extLst>
                    <c:strCache>
                      <c:ptCount val="1"/>
                      <c:pt idx="0">
                        <c:v>Monetization KPI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'Monthly Data 2025'!$B$3:$B$15</c15:sqref>
                        </c15:fullRef>
                        <c15:formulaRef>
                          <c15:sqref>'Monthly Data 2025'!$B$3:$B$14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0.16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0.16</c:v>
                      </c:pt>
                      <c:pt idx="4">
                        <c:v>0.16</c:v>
                      </c:pt>
                      <c:pt idx="5">
                        <c:v>0.16</c:v>
                      </c:pt>
                      <c:pt idx="6">
                        <c:v>0.16</c:v>
                      </c:pt>
                      <c:pt idx="7">
                        <c:v>0.16</c:v>
                      </c:pt>
                      <c:pt idx="8">
                        <c:v>0.16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EDB0-4523-8373-27B2F3AD74F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2025'!$D$2</c15:sqref>
                        </c15:formulaRef>
                      </c:ext>
                    </c:extLst>
                    <c:strCache>
                      <c:ptCount val="1"/>
                      <c:pt idx="0">
                        <c:v>Total Number of Assets Reused with Savings - Billing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2025'!$D$3:$D$15</c15:sqref>
                        </c15:fullRef>
                        <c15:formulaRef>
                          <c15:sqref>'Monthly Data 2025'!$D$3:$D$14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</c:v>
                      </c:pt>
                      <c:pt idx="1">
                        <c:v>5</c:v>
                      </c:pt>
                      <c:pt idx="2">
                        <c:v>4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7</c:v>
                      </c:pt>
                      <c:pt idx="6">
                        <c:v>6</c:v>
                      </c:pt>
                      <c:pt idx="7">
                        <c:v>10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19</c:v>
                      </c:pt>
                      <c:pt idx="11">
                        <c:v>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B0-4523-8373-27B2F3AD74F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2025'!$F$2</c15:sqref>
                        </c15:formulaRef>
                      </c:ext>
                    </c:extLst>
                    <c:strCache>
                      <c:ptCount val="1"/>
                      <c:pt idx="0">
                        <c:v>Asset Savings - Billing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2025'!$F$3:$F$15</c15:sqref>
                        </c15:fullRef>
                        <c15:formulaRef>
                          <c15:sqref>'Monthly Data 2025'!$F$3:$F$14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143</c:v>
                      </c:pt>
                      <c:pt idx="1">
                        <c:v>112</c:v>
                      </c:pt>
                      <c:pt idx="2">
                        <c:v>148</c:v>
                      </c:pt>
                      <c:pt idx="3">
                        <c:v>684.42</c:v>
                      </c:pt>
                      <c:pt idx="4">
                        <c:v>254.9</c:v>
                      </c:pt>
                      <c:pt idx="5">
                        <c:v>131.19999999999999</c:v>
                      </c:pt>
                      <c:pt idx="6">
                        <c:v>502.2</c:v>
                      </c:pt>
                      <c:pt idx="7">
                        <c:v>26.3</c:v>
                      </c:pt>
                      <c:pt idx="8">
                        <c:v>379.5</c:v>
                      </c:pt>
                      <c:pt idx="9">
                        <c:v>212</c:v>
                      </c:pt>
                      <c:pt idx="10">
                        <c:v>289</c:v>
                      </c:pt>
                      <c:pt idx="11">
                        <c:v>1901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B0-4523-8373-27B2F3AD74F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2025'!$G$2</c15:sqref>
                        </c15:formulaRef>
                      </c:ext>
                    </c:extLst>
                    <c:strCache>
                      <c:ptCount val="1"/>
                      <c:pt idx="0">
                        <c:v>Automation Savings - Billing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2025'!$G$3:$G$15</c15:sqref>
                        </c15:fullRef>
                        <c15:formulaRef>
                          <c15:sqref>'Monthly Data 2025'!$G$3:$G$14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48.1</c:v>
                      </c:pt>
                      <c:pt idx="1">
                        <c:v>24.5</c:v>
                      </c:pt>
                      <c:pt idx="2">
                        <c:v>0.8</c:v>
                      </c:pt>
                      <c:pt idx="3">
                        <c:v>0.45</c:v>
                      </c:pt>
                      <c:pt idx="4">
                        <c:v>19.649999999999999</c:v>
                      </c:pt>
                      <c:pt idx="5">
                        <c:v>5.45</c:v>
                      </c:pt>
                      <c:pt idx="6">
                        <c:v>22.1</c:v>
                      </c:pt>
                      <c:pt idx="7">
                        <c:v>326.49</c:v>
                      </c:pt>
                      <c:pt idx="8">
                        <c:v>14.4</c:v>
                      </c:pt>
                      <c:pt idx="9">
                        <c:v>0.5</c:v>
                      </c:pt>
                      <c:pt idx="10">
                        <c:v>1064</c:v>
                      </c:pt>
                      <c:pt idx="11">
                        <c:v>1144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DB0-4523-8373-27B2F3AD74F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2025'!$H$2</c15:sqref>
                        </c15:formulaRef>
                      </c:ext>
                    </c:extLst>
                    <c:strCache>
                      <c:ptCount val="1"/>
                      <c:pt idx="0">
                        <c:v>Total Savings - Billing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2025'!$H$3:$H$15</c15:sqref>
                        </c15:fullRef>
                        <c15:formulaRef>
                          <c15:sqref>'Monthly Data 2025'!$H$3:$H$14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191.1</c:v>
                      </c:pt>
                      <c:pt idx="1">
                        <c:v>136.5</c:v>
                      </c:pt>
                      <c:pt idx="2">
                        <c:v>148.80000000000001</c:v>
                      </c:pt>
                      <c:pt idx="3">
                        <c:v>684.87</c:v>
                      </c:pt>
                      <c:pt idx="4">
                        <c:v>274.55</c:v>
                      </c:pt>
                      <c:pt idx="5">
                        <c:v>136.64999999999998</c:v>
                      </c:pt>
                      <c:pt idx="6">
                        <c:v>524.29999999999995</c:v>
                      </c:pt>
                      <c:pt idx="7">
                        <c:v>352.79</c:v>
                      </c:pt>
                      <c:pt idx="8">
                        <c:v>393.9</c:v>
                      </c:pt>
                      <c:pt idx="9">
                        <c:v>212.5</c:v>
                      </c:pt>
                      <c:pt idx="10">
                        <c:v>1353</c:v>
                      </c:pt>
                      <c:pt idx="11">
                        <c:v>3045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DB0-4523-8373-27B2F3AD74F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2025'!$I$2</c15:sqref>
                        </c15:formulaRef>
                      </c:ext>
                    </c:extLst>
                    <c:strCache>
                      <c:ptCount val="1"/>
                      <c:pt idx="0">
                        <c:v>Billability Hours - Billing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2025'!$I$3:$I$15</c15:sqref>
                        </c15:fullRef>
                        <c15:formulaRef>
                          <c15:sqref>'Monthly Data 2025'!$I$3:$I$14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6651.85</c:v>
                      </c:pt>
                      <c:pt idx="1">
                        <c:v>6033</c:v>
                      </c:pt>
                      <c:pt idx="2">
                        <c:v>6090</c:v>
                      </c:pt>
                      <c:pt idx="3">
                        <c:v>6217</c:v>
                      </c:pt>
                      <c:pt idx="4">
                        <c:v>6908</c:v>
                      </c:pt>
                      <c:pt idx="5">
                        <c:v>7306</c:v>
                      </c:pt>
                      <c:pt idx="6">
                        <c:v>10082</c:v>
                      </c:pt>
                      <c:pt idx="7">
                        <c:v>8841</c:v>
                      </c:pt>
                      <c:pt idx="8">
                        <c:v>9505</c:v>
                      </c:pt>
                      <c:pt idx="9">
                        <c:v>8976</c:v>
                      </c:pt>
                      <c:pt idx="10">
                        <c:v>6541</c:v>
                      </c:pt>
                      <c:pt idx="11">
                        <c:v>8606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DB0-4523-8373-27B2F3AD74FB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2025'!$J$2</c15:sqref>
                        </c15:formulaRef>
                      </c:ext>
                    </c:extLst>
                    <c:strCache>
                      <c:ptCount val="1"/>
                      <c:pt idx="0">
                        <c:v>Billing Savings 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2025'!$J$3:$J$15</c15:sqref>
                        </c15:fullRef>
                        <c15:formulaRef>
                          <c15:sqref>'Monthly Data 2025'!$J$3:$J$14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2.8728849868833482E-2</c:v>
                      </c:pt>
                      <c:pt idx="1">
                        <c:v>2.2625559423172553E-2</c:v>
                      </c:pt>
                      <c:pt idx="2">
                        <c:v>2.4433497536945816E-2</c:v>
                      </c:pt>
                      <c:pt idx="3">
                        <c:v>0.11016084928422068</c:v>
                      </c:pt>
                      <c:pt idx="4">
                        <c:v>3.9743775332947311E-2</c:v>
                      </c:pt>
                      <c:pt idx="5">
                        <c:v>1.8703805091705446E-2</c:v>
                      </c:pt>
                      <c:pt idx="6">
                        <c:v>5.2003570720095212E-2</c:v>
                      </c:pt>
                      <c:pt idx="7">
                        <c:v>3.9903857029747768E-2</c:v>
                      </c:pt>
                      <c:pt idx="8">
                        <c:v>4.1441346659652809E-2</c:v>
                      </c:pt>
                      <c:pt idx="9">
                        <c:v>2.3674242424242424E-2</c:v>
                      </c:pt>
                      <c:pt idx="10">
                        <c:v>0.20684910564133924</c:v>
                      </c:pt>
                      <c:pt idx="11">
                        <c:v>0.35382291424587498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DB0-4523-8373-27B2F3AD74FB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2025'!$L$2</c15:sqref>
                        </c15:formulaRef>
                      </c:ext>
                    </c:extLst>
                    <c:strCache>
                      <c:ptCount val="1"/>
                      <c:pt idx="0">
                        <c:v>Total Number of Assets Reused with Savings - Charging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2025'!$L$3:$L$15</c15:sqref>
                        </c15:fullRef>
                        <c15:formulaRef>
                          <c15:sqref>'Monthly Data 2025'!$L$3:$L$14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141</c:v>
                      </c:pt>
                      <c:pt idx="1">
                        <c:v>239</c:v>
                      </c:pt>
                      <c:pt idx="2">
                        <c:v>139</c:v>
                      </c:pt>
                      <c:pt idx="3">
                        <c:v>233</c:v>
                      </c:pt>
                      <c:pt idx="4">
                        <c:v>221</c:v>
                      </c:pt>
                      <c:pt idx="5">
                        <c:v>134</c:v>
                      </c:pt>
                      <c:pt idx="6">
                        <c:v>210</c:v>
                      </c:pt>
                      <c:pt idx="7">
                        <c:v>148</c:v>
                      </c:pt>
                      <c:pt idx="8">
                        <c:v>95</c:v>
                      </c:pt>
                      <c:pt idx="9">
                        <c:v>52</c:v>
                      </c:pt>
                      <c:pt idx="10">
                        <c:v>64</c:v>
                      </c:pt>
                      <c:pt idx="11">
                        <c:v>153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DB0-4523-8373-27B2F3AD74FB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2025'!$N$2</c15:sqref>
                        </c15:formulaRef>
                      </c:ext>
                    </c:extLst>
                    <c:strCache>
                      <c:ptCount val="1"/>
                      <c:pt idx="0">
                        <c:v>Asset Savings - Charging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2025'!$N$3:$N$15</c15:sqref>
                        </c15:fullRef>
                        <c15:formulaRef>
                          <c15:sqref>'Monthly Data 2025'!$N$3:$N$14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1551.24</c:v>
                      </c:pt>
                      <c:pt idx="1">
                        <c:v>2465</c:v>
                      </c:pt>
                      <c:pt idx="2">
                        <c:v>969.48</c:v>
                      </c:pt>
                      <c:pt idx="3">
                        <c:v>2183.5500000000002</c:v>
                      </c:pt>
                      <c:pt idx="4">
                        <c:v>1785.6</c:v>
                      </c:pt>
                      <c:pt idx="5">
                        <c:v>1613.72</c:v>
                      </c:pt>
                      <c:pt idx="6">
                        <c:v>1797.23</c:v>
                      </c:pt>
                      <c:pt idx="7">
                        <c:v>1535.1</c:v>
                      </c:pt>
                      <c:pt idx="8">
                        <c:v>1564.68</c:v>
                      </c:pt>
                      <c:pt idx="9">
                        <c:v>784.4</c:v>
                      </c:pt>
                      <c:pt idx="10">
                        <c:v>1375</c:v>
                      </c:pt>
                      <c:pt idx="11">
                        <c:v>2602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DB0-4523-8373-27B2F3AD74FB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2025'!$O$2</c15:sqref>
                        </c15:formulaRef>
                      </c:ext>
                    </c:extLst>
                    <c:strCache>
                      <c:ptCount val="1"/>
                      <c:pt idx="0">
                        <c:v>Automation Savings - Charging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2025'!$O$3:$O$15</c15:sqref>
                        </c15:fullRef>
                        <c15:formulaRef>
                          <c15:sqref>'Monthly Data 2025'!$O$3:$O$14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2684</c:v>
                      </c:pt>
                      <c:pt idx="1">
                        <c:v>3455</c:v>
                      </c:pt>
                      <c:pt idx="2">
                        <c:v>2723.24</c:v>
                      </c:pt>
                      <c:pt idx="3">
                        <c:v>4112</c:v>
                      </c:pt>
                      <c:pt idx="4">
                        <c:v>4764.8</c:v>
                      </c:pt>
                      <c:pt idx="5">
                        <c:v>3734.9</c:v>
                      </c:pt>
                      <c:pt idx="6">
                        <c:v>3669.84</c:v>
                      </c:pt>
                      <c:pt idx="7">
                        <c:v>2105.0700000000002</c:v>
                      </c:pt>
                      <c:pt idx="8">
                        <c:v>699.29</c:v>
                      </c:pt>
                      <c:pt idx="9">
                        <c:v>1058.77</c:v>
                      </c:pt>
                      <c:pt idx="10">
                        <c:v>704</c:v>
                      </c:pt>
                      <c:pt idx="11">
                        <c:v>1882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DB0-4523-8373-27B2F3AD74FB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2025'!$P$2</c15:sqref>
                        </c15:formulaRef>
                      </c:ext>
                    </c:extLst>
                    <c:strCache>
                      <c:ptCount val="1"/>
                      <c:pt idx="0">
                        <c:v>Total Savings - Charging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2025'!$P$3:$P$15</c15:sqref>
                        </c15:fullRef>
                        <c15:formulaRef>
                          <c15:sqref>'Monthly Data 2025'!$P$3:$P$14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4235.24</c:v>
                      </c:pt>
                      <c:pt idx="1">
                        <c:v>5920</c:v>
                      </c:pt>
                      <c:pt idx="2">
                        <c:v>3692.72</c:v>
                      </c:pt>
                      <c:pt idx="3">
                        <c:v>6295.55</c:v>
                      </c:pt>
                      <c:pt idx="4">
                        <c:v>6550.4</c:v>
                      </c:pt>
                      <c:pt idx="5">
                        <c:v>5348.62</c:v>
                      </c:pt>
                      <c:pt idx="6">
                        <c:v>5467.07</c:v>
                      </c:pt>
                      <c:pt idx="7">
                        <c:v>3640.17</c:v>
                      </c:pt>
                      <c:pt idx="8">
                        <c:v>2263.9700000000003</c:v>
                      </c:pt>
                      <c:pt idx="9">
                        <c:v>1843.17</c:v>
                      </c:pt>
                      <c:pt idx="10">
                        <c:v>2080</c:v>
                      </c:pt>
                      <c:pt idx="11">
                        <c:v>4486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DB0-4523-8373-27B2F3AD74FB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2025'!$Q$2</c15:sqref>
                        </c15:formulaRef>
                      </c:ext>
                    </c:extLst>
                    <c:strCache>
                      <c:ptCount val="1"/>
                      <c:pt idx="0">
                        <c:v>Billability Hours - Charging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2025'!$Q$3:$Q$15</c15:sqref>
                        </c15:fullRef>
                        <c15:formulaRef>
                          <c15:sqref>'Monthly Data 2025'!$Q$3:$Q$14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44613</c:v>
                      </c:pt>
                      <c:pt idx="1">
                        <c:v>41659</c:v>
                      </c:pt>
                      <c:pt idx="2">
                        <c:v>40996</c:v>
                      </c:pt>
                      <c:pt idx="3">
                        <c:v>40248</c:v>
                      </c:pt>
                      <c:pt idx="4">
                        <c:v>43121</c:v>
                      </c:pt>
                      <c:pt idx="5">
                        <c:v>40965</c:v>
                      </c:pt>
                      <c:pt idx="6">
                        <c:v>43825</c:v>
                      </c:pt>
                      <c:pt idx="7">
                        <c:v>39175</c:v>
                      </c:pt>
                      <c:pt idx="8">
                        <c:v>40576</c:v>
                      </c:pt>
                      <c:pt idx="9">
                        <c:v>39390</c:v>
                      </c:pt>
                      <c:pt idx="10">
                        <c:v>41298</c:v>
                      </c:pt>
                      <c:pt idx="11">
                        <c:v>29642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DB0-4523-8373-27B2F3AD74FB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2025'!$R$2</c15:sqref>
                        </c15:formulaRef>
                      </c:ext>
                    </c:extLst>
                    <c:strCache>
                      <c:ptCount val="1"/>
                      <c:pt idx="0">
                        <c:v>Charging Savings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2025'!$R$3:$R$15</c15:sqref>
                        </c15:fullRef>
                        <c15:formulaRef>
                          <c15:sqref>'Monthly Data 2025'!$R$3:$R$14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9.4932867101517493E-2</c:v>
                      </c:pt>
                      <c:pt idx="1">
                        <c:v>0.14210614753114573</c:v>
                      </c:pt>
                      <c:pt idx="2">
                        <c:v>9.0075129280905455E-2</c:v>
                      </c:pt>
                      <c:pt idx="3">
                        <c:v>0.15641895249453389</c:v>
                      </c:pt>
                      <c:pt idx="4">
                        <c:v>0.15190742329723336</c:v>
                      </c:pt>
                      <c:pt idx="5">
                        <c:v>0.13056560478457219</c:v>
                      </c:pt>
                      <c:pt idx="6">
                        <c:v>0.12474774671990872</c:v>
                      </c:pt>
                      <c:pt idx="7">
                        <c:v>9.2920740268028088E-2</c:v>
                      </c:pt>
                      <c:pt idx="8">
                        <c:v>5.5795790615141963E-2</c:v>
                      </c:pt>
                      <c:pt idx="9">
                        <c:v>4.6792840822543792E-2</c:v>
                      </c:pt>
                      <c:pt idx="10">
                        <c:v>5.036563513971621E-2</c:v>
                      </c:pt>
                      <c:pt idx="11">
                        <c:v>0.15133931583563862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DB0-4523-8373-27B2F3AD74FB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2025'!$S$2</c15:sqref>
                        </c15:formulaRef>
                      </c:ext>
                    </c:extLst>
                    <c:strCache>
                      <c:ptCount val="1"/>
                      <c:pt idx="0">
                        <c:v>Total Savings - Monetization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2025'!$S$3:$S$15</c15:sqref>
                        </c15:fullRef>
                        <c15:formulaRef>
                          <c15:sqref>'Monthly Data 2025'!$S$3:$S$14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4426.34</c:v>
                      </c:pt>
                      <c:pt idx="1">
                        <c:v>6056.5</c:v>
                      </c:pt>
                      <c:pt idx="2">
                        <c:v>3841.52</c:v>
                      </c:pt>
                      <c:pt idx="3">
                        <c:v>6980.42</c:v>
                      </c:pt>
                      <c:pt idx="4">
                        <c:v>6824.95</c:v>
                      </c:pt>
                      <c:pt idx="5">
                        <c:v>5485.2699999999995</c:v>
                      </c:pt>
                      <c:pt idx="6">
                        <c:v>5991.37</c:v>
                      </c:pt>
                      <c:pt idx="7">
                        <c:v>3992.96</c:v>
                      </c:pt>
                      <c:pt idx="8">
                        <c:v>2657.8700000000003</c:v>
                      </c:pt>
                      <c:pt idx="9">
                        <c:v>2055.67</c:v>
                      </c:pt>
                      <c:pt idx="10">
                        <c:v>3433</c:v>
                      </c:pt>
                      <c:pt idx="11">
                        <c:v>7531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DB0-4523-8373-27B2F3AD74FB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2025'!$T$2</c15:sqref>
                        </c15:formulaRef>
                      </c:ext>
                    </c:extLst>
                    <c:strCache>
                      <c:ptCount val="1"/>
                      <c:pt idx="0">
                        <c:v>Billability Hours - Monetization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8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8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8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2025'!$T$3:$T$15</c15:sqref>
                        </c15:fullRef>
                        <c15:formulaRef>
                          <c15:sqref>'Monthly Data 2025'!$T$3:$T$14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51264.85</c:v>
                      </c:pt>
                      <c:pt idx="1">
                        <c:v>47692</c:v>
                      </c:pt>
                      <c:pt idx="2">
                        <c:v>47086</c:v>
                      </c:pt>
                      <c:pt idx="3">
                        <c:v>46465</c:v>
                      </c:pt>
                      <c:pt idx="4">
                        <c:v>50029</c:v>
                      </c:pt>
                      <c:pt idx="5">
                        <c:v>48271</c:v>
                      </c:pt>
                      <c:pt idx="6">
                        <c:v>53907</c:v>
                      </c:pt>
                      <c:pt idx="7">
                        <c:v>48016</c:v>
                      </c:pt>
                      <c:pt idx="8">
                        <c:v>50081</c:v>
                      </c:pt>
                      <c:pt idx="9">
                        <c:v>48366</c:v>
                      </c:pt>
                      <c:pt idx="10">
                        <c:v>47839</c:v>
                      </c:pt>
                      <c:pt idx="11">
                        <c:v>38248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DB0-4523-8373-27B2F3AD74FB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2025'!$U$2</c15:sqref>
                        </c15:formulaRef>
                      </c:ext>
                    </c:extLst>
                    <c:strCache>
                      <c:ptCount val="1"/>
                      <c:pt idx="0">
                        <c:v>Monetization Savings 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8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8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8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2025'!$U$3:$U$15</c15:sqref>
                        </c15:fullRef>
                        <c15:formulaRef>
                          <c15:sqref>'Monthly Data 2025'!$U$3:$U$14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8.6342591463741736E-2</c:v>
                      </c:pt>
                      <c:pt idx="1">
                        <c:v>0.12699194833515054</c:v>
                      </c:pt>
                      <c:pt idx="2">
                        <c:v>8.1585184555918955E-2</c:v>
                      </c:pt>
                      <c:pt idx="3">
                        <c:v>0.15022963520929733</c:v>
                      </c:pt>
                      <c:pt idx="4">
                        <c:v>0.13641987647164644</c:v>
                      </c:pt>
                      <c:pt idx="5">
                        <c:v>0.11363489465724762</c:v>
                      </c:pt>
                      <c:pt idx="6">
                        <c:v>0.11114270873912478</c:v>
                      </c:pt>
                      <c:pt idx="7">
                        <c:v>8.3158947017660786E-2</c:v>
                      </c:pt>
                      <c:pt idx="8">
                        <c:v>5.307142429264592E-2</c:v>
                      </c:pt>
                      <c:pt idx="9">
                        <c:v>4.2502377703345327E-2</c:v>
                      </c:pt>
                      <c:pt idx="10">
                        <c:v>7.1761533476870337E-2</c:v>
                      </c:pt>
                      <c:pt idx="11">
                        <c:v>0.196899184271073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DB0-4523-8373-27B2F3AD74FB}"/>
                  </c:ext>
                </c:extLst>
              </c15:ser>
            </c15:filteredBarSeries>
          </c:ext>
        </c:extLst>
      </c:barChart>
      <c:lineChart>
        <c:grouping val="stacked"/>
        <c:varyColors val="0"/>
        <c:ser>
          <c:idx val="3"/>
          <c:order val="3"/>
          <c:tx>
            <c:strRef>
              <c:f>'Monthly Data 2025'!$E$2</c:f>
              <c:strCache>
                <c:ptCount val="1"/>
                <c:pt idx="0">
                  <c:v>Pending Feedback - Billing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2025'!$A$3:$A$15</c15:sqref>
                  </c15:fullRef>
                </c:ext>
              </c:extLst>
              <c:f>'Monthly Data 2025'!$A$3:$A$14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2025'!$E$3:$E$15</c15:sqref>
                  </c15:fullRef>
                </c:ext>
              </c:extLst>
              <c:f>'Monthly Data 2025'!$E$3:$E$14</c:f>
              <c:numCache>
                <c:formatCode>General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3</c:v>
                </c:pt>
                <c:pt idx="5">
                  <c:v>13</c:v>
                </c:pt>
                <c:pt idx="6">
                  <c:v>3</c:v>
                </c:pt>
                <c:pt idx="7">
                  <c:v>28</c:v>
                </c:pt>
                <c:pt idx="8">
                  <c:v>31</c:v>
                </c:pt>
                <c:pt idx="9">
                  <c:v>46</c:v>
                </c:pt>
                <c:pt idx="10">
                  <c:v>49</c:v>
                </c:pt>
                <c:pt idx="1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B0-4523-8373-27B2F3AD74FB}"/>
            </c:ext>
          </c:extLst>
        </c:ser>
        <c:ser>
          <c:idx val="11"/>
          <c:order val="11"/>
          <c:tx>
            <c:strRef>
              <c:f>'Monthly Data 2025'!$M$2</c:f>
              <c:strCache>
                <c:ptCount val="1"/>
                <c:pt idx="0">
                  <c:v>Pending Feedback - Charging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2025'!$A$3:$A$15</c15:sqref>
                  </c15:fullRef>
                </c:ext>
              </c:extLst>
              <c:f>'Monthly Data 2025'!$A$3:$A$14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2025'!$M$3:$M$15</c15:sqref>
                  </c15:fullRef>
                </c:ext>
              </c:extLst>
              <c:f>'Monthly Data 2025'!$M$3:$M$14</c:f>
              <c:numCache>
                <c:formatCode>General</c:formatCode>
                <c:ptCount val="12"/>
                <c:pt idx="0">
                  <c:v>49</c:v>
                </c:pt>
                <c:pt idx="1">
                  <c:v>44</c:v>
                </c:pt>
                <c:pt idx="2">
                  <c:v>62</c:v>
                </c:pt>
                <c:pt idx="3">
                  <c:v>139</c:v>
                </c:pt>
                <c:pt idx="4">
                  <c:v>67</c:v>
                </c:pt>
                <c:pt idx="5">
                  <c:v>58</c:v>
                </c:pt>
                <c:pt idx="6">
                  <c:v>73</c:v>
                </c:pt>
                <c:pt idx="7">
                  <c:v>92</c:v>
                </c:pt>
                <c:pt idx="8">
                  <c:v>140</c:v>
                </c:pt>
                <c:pt idx="9">
                  <c:v>187</c:v>
                </c:pt>
                <c:pt idx="10">
                  <c:v>193</c:v>
                </c:pt>
                <c:pt idx="11">
                  <c:v>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B0-4523-8373-27B2F3AD74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02195520"/>
        <c:axId val="1970650064"/>
      </c:lineChart>
      <c:catAx>
        <c:axId val="210219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650064"/>
        <c:crosses val="autoZero"/>
        <c:auto val="1"/>
        <c:lblAlgn val="ctr"/>
        <c:lblOffset val="100"/>
        <c:noMultiLvlLbl val="0"/>
      </c:catAx>
      <c:valAx>
        <c:axId val="197065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19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Monetization Savings in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4"/>
          <c:order val="4"/>
          <c:tx>
            <c:strRef>
              <c:f>'Monthly Data 2025'!$F$2</c:f>
              <c:strCache>
                <c:ptCount val="1"/>
                <c:pt idx="0">
                  <c:v>Asset Savings - Billing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2025'!$A$3:$A$15</c15:sqref>
                  </c15:fullRef>
                </c:ext>
              </c:extLst>
              <c:f>'Monthly Data 2025'!$A$3:$A$14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2025'!$F$3:$F$15</c15:sqref>
                  </c15:fullRef>
                </c:ext>
              </c:extLst>
              <c:f>'Monthly Data 2025'!$F$3:$F$14</c:f>
              <c:numCache>
                <c:formatCode>General</c:formatCode>
                <c:ptCount val="12"/>
                <c:pt idx="0">
                  <c:v>143</c:v>
                </c:pt>
                <c:pt idx="1">
                  <c:v>112</c:v>
                </c:pt>
                <c:pt idx="2">
                  <c:v>148</c:v>
                </c:pt>
                <c:pt idx="3">
                  <c:v>684.42</c:v>
                </c:pt>
                <c:pt idx="4">
                  <c:v>254.9</c:v>
                </c:pt>
                <c:pt idx="5">
                  <c:v>131.19999999999999</c:v>
                </c:pt>
                <c:pt idx="6">
                  <c:v>502.2</c:v>
                </c:pt>
                <c:pt idx="7">
                  <c:v>26.3</c:v>
                </c:pt>
                <c:pt idx="8">
                  <c:v>379.5</c:v>
                </c:pt>
                <c:pt idx="9">
                  <c:v>212</c:v>
                </c:pt>
                <c:pt idx="10">
                  <c:v>289</c:v>
                </c:pt>
                <c:pt idx="11">
                  <c:v>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0-4974-90CF-4320BD5D82A9}"/>
            </c:ext>
          </c:extLst>
        </c:ser>
        <c:ser>
          <c:idx val="5"/>
          <c:order val="5"/>
          <c:tx>
            <c:strRef>
              <c:f>'Monthly Data 2025'!$G$2</c:f>
              <c:strCache>
                <c:ptCount val="1"/>
                <c:pt idx="0">
                  <c:v>Automation Savings - Billing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2025'!$A$3:$A$15</c15:sqref>
                  </c15:fullRef>
                </c:ext>
              </c:extLst>
              <c:f>'Monthly Data 2025'!$A$3:$A$14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2025'!$G$3:$G$15</c15:sqref>
                  </c15:fullRef>
                </c:ext>
              </c:extLst>
              <c:f>'Monthly Data 2025'!$G$3:$G$14</c:f>
              <c:numCache>
                <c:formatCode>General</c:formatCode>
                <c:ptCount val="12"/>
                <c:pt idx="0">
                  <c:v>48.1</c:v>
                </c:pt>
                <c:pt idx="1">
                  <c:v>24.5</c:v>
                </c:pt>
                <c:pt idx="2">
                  <c:v>0.8</c:v>
                </c:pt>
                <c:pt idx="3">
                  <c:v>0.45</c:v>
                </c:pt>
                <c:pt idx="4">
                  <c:v>19.649999999999999</c:v>
                </c:pt>
                <c:pt idx="5">
                  <c:v>5.45</c:v>
                </c:pt>
                <c:pt idx="6">
                  <c:v>22.1</c:v>
                </c:pt>
                <c:pt idx="7">
                  <c:v>326.49</c:v>
                </c:pt>
                <c:pt idx="8">
                  <c:v>14.4</c:v>
                </c:pt>
                <c:pt idx="9">
                  <c:v>0.5</c:v>
                </c:pt>
                <c:pt idx="10">
                  <c:v>1064</c:v>
                </c:pt>
                <c:pt idx="11">
                  <c:v>1144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E0-4974-90CF-4320BD5D82A9}"/>
            </c:ext>
          </c:extLst>
        </c:ser>
        <c:ser>
          <c:idx val="12"/>
          <c:order val="12"/>
          <c:tx>
            <c:strRef>
              <c:f>'Monthly Data 2025'!$N$2</c:f>
              <c:strCache>
                <c:ptCount val="1"/>
                <c:pt idx="0">
                  <c:v>Asset Savings - Charging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2025'!$A$3:$A$15</c15:sqref>
                  </c15:fullRef>
                </c:ext>
              </c:extLst>
              <c:f>'Monthly Data 2025'!$A$3:$A$14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2025'!$N$3:$N$15</c15:sqref>
                  </c15:fullRef>
                </c:ext>
              </c:extLst>
              <c:f>'Monthly Data 2025'!$N$3:$N$14</c:f>
              <c:numCache>
                <c:formatCode>General</c:formatCode>
                <c:ptCount val="12"/>
                <c:pt idx="0">
                  <c:v>1551.24</c:v>
                </c:pt>
                <c:pt idx="1">
                  <c:v>2465</c:v>
                </c:pt>
                <c:pt idx="2">
                  <c:v>969.48</c:v>
                </c:pt>
                <c:pt idx="3">
                  <c:v>2183.5500000000002</c:v>
                </c:pt>
                <c:pt idx="4">
                  <c:v>1785.6</c:v>
                </c:pt>
                <c:pt idx="5">
                  <c:v>1613.72</c:v>
                </c:pt>
                <c:pt idx="6">
                  <c:v>1797.23</c:v>
                </c:pt>
                <c:pt idx="7">
                  <c:v>1535.1</c:v>
                </c:pt>
                <c:pt idx="8">
                  <c:v>1564.68</c:v>
                </c:pt>
                <c:pt idx="9">
                  <c:v>784.4</c:v>
                </c:pt>
                <c:pt idx="10">
                  <c:v>1375</c:v>
                </c:pt>
                <c:pt idx="11">
                  <c:v>2602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E0-4974-90CF-4320BD5D82A9}"/>
            </c:ext>
          </c:extLst>
        </c:ser>
        <c:ser>
          <c:idx val="13"/>
          <c:order val="13"/>
          <c:tx>
            <c:strRef>
              <c:f>'Monthly Data 2025'!$O$2</c:f>
              <c:strCache>
                <c:ptCount val="1"/>
                <c:pt idx="0">
                  <c:v>Automation Savings - Charging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2025'!$A$3:$A$15</c15:sqref>
                  </c15:fullRef>
                </c:ext>
              </c:extLst>
              <c:f>'Monthly Data 2025'!$A$3:$A$14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2025'!$O$3:$O$15</c15:sqref>
                  </c15:fullRef>
                </c:ext>
              </c:extLst>
              <c:f>'Monthly Data 2025'!$O$3:$O$14</c:f>
              <c:numCache>
                <c:formatCode>General</c:formatCode>
                <c:ptCount val="12"/>
                <c:pt idx="0">
                  <c:v>2684</c:v>
                </c:pt>
                <c:pt idx="1">
                  <c:v>3455</c:v>
                </c:pt>
                <c:pt idx="2">
                  <c:v>2723.24</c:v>
                </c:pt>
                <c:pt idx="3">
                  <c:v>4112</c:v>
                </c:pt>
                <c:pt idx="4">
                  <c:v>4764.8</c:v>
                </c:pt>
                <c:pt idx="5">
                  <c:v>3734.9</c:v>
                </c:pt>
                <c:pt idx="6">
                  <c:v>3669.84</c:v>
                </c:pt>
                <c:pt idx="7">
                  <c:v>2105.0700000000002</c:v>
                </c:pt>
                <c:pt idx="8">
                  <c:v>699.29</c:v>
                </c:pt>
                <c:pt idx="9">
                  <c:v>1058.77</c:v>
                </c:pt>
                <c:pt idx="10">
                  <c:v>704</c:v>
                </c:pt>
                <c:pt idx="11">
                  <c:v>1882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E0-4974-90CF-4320BD5D8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343055"/>
        <c:axId val="21103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'Monthly Data 2025'!$B$2</c15:sqref>
                        </c15:formulaRef>
                      </c:ext>
                    </c:extLst>
                    <c:strCache>
                      <c:ptCount val="1"/>
                      <c:pt idx="0">
                        <c:v>Monetization KPI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'Monthly Data 2025'!$B$3:$B$15</c15:sqref>
                        </c15:fullRef>
                        <c15:formulaRef>
                          <c15:sqref>'Monthly Data 2025'!$B$3:$B$14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0.16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0.16</c:v>
                      </c:pt>
                      <c:pt idx="4">
                        <c:v>0.16</c:v>
                      </c:pt>
                      <c:pt idx="5">
                        <c:v>0.16</c:v>
                      </c:pt>
                      <c:pt idx="6">
                        <c:v>0.16</c:v>
                      </c:pt>
                      <c:pt idx="7">
                        <c:v>0.16</c:v>
                      </c:pt>
                      <c:pt idx="8">
                        <c:v>0.16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57E0-4974-90CF-4320BD5D82A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2025'!$C$2</c15:sqref>
                        </c15:formulaRef>
                      </c:ext>
                    </c:extLst>
                    <c:strCache>
                      <c:ptCount val="1"/>
                      <c:pt idx="0">
                        <c:v>Total Number of Assets Download - Billing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2025'!$C$3:$C$15</c15:sqref>
                        </c15:fullRef>
                        <c15:formulaRef>
                          <c15:sqref>'Monthly Data 2025'!$C$3:$C$14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</c:v>
                      </c:pt>
                      <c:pt idx="1">
                        <c:v>20</c:v>
                      </c:pt>
                      <c:pt idx="2">
                        <c:v>9</c:v>
                      </c:pt>
                      <c:pt idx="3">
                        <c:v>20</c:v>
                      </c:pt>
                      <c:pt idx="4">
                        <c:v>29</c:v>
                      </c:pt>
                      <c:pt idx="5">
                        <c:v>22</c:v>
                      </c:pt>
                      <c:pt idx="6">
                        <c:v>34</c:v>
                      </c:pt>
                      <c:pt idx="7">
                        <c:v>17</c:v>
                      </c:pt>
                      <c:pt idx="8">
                        <c:v>8</c:v>
                      </c:pt>
                      <c:pt idx="9">
                        <c:v>39</c:v>
                      </c:pt>
                      <c:pt idx="10">
                        <c:v>27</c:v>
                      </c:pt>
                      <c:pt idx="11">
                        <c:v>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7E0-4974-90CF-4320BD5D82A9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2025'!$D$2</c15:sqref>
                        </c15:formulaRef>
                      </c:ext>
                    </c:extLst>
                    <c:strCache>
                      <c:ptCount val="1"/>
                      <c:pt idx="0">
                        <c:v>Total Number of Assets Reused with Savings - Billing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2025'!$D$3:$D$15</c15:sqref>
                        </c15:fullRef>
                        <c15:formulaRef>
                          <c15:sqref>'Monthly Data 2025'!$D$3:$D$14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</c:v>
                      </c:pt>
                      <c:pt idx="1">
                        <c:v>5</c:v>
                      </c:pt>
                      <c:pt idx="2">
                        <c:v>4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7</c:v>
                      </c:pt>
                      <c:pt idx="6">
                        <c:v>6</c:v>
                      </c:pt>
                      <c:pt idx="7">
                        <c:v>10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19</c:v>
                      </c:pt>
                      <c:pt idx="11">
                        <c:v>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7E0-4974-90CF-4320BD5D82A9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2025'!$E$2</c15:sqref>
                        </c15:formulaRef>
                      </c:ext>
                    </c:extLst>
                    <c:strCache>
                      <c:ptCount val="1"/>
                      <c:pt idx="0">
                        <c:v>Pending Feedback - Billing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2025'!$E$3:$E$15</c15:sqref>
                        </c15:fullRef>
                        <c15:formulaRef>
                          <c15:sqref>'Monthly Data 2025'!$E$3:$E$14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6</c:v>
                      </c:pt>
                      <c:pt idx="4">
                        <c:v>3</c:v>
                      </c:pt>
                      <c:pt idx="5">
                        <c:v>13</c:v>
                      </c:pt>
                      <c:pt idx="6">
                        <c:v>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46</c:v>
                      </c:pt>
                      <c:pt idx="10">
                        <c:v>49</c:v>
                      </c:pt>
                      <c:pt idx="11">
                        <c:v>52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7E0-4974-90CF-4320BD5D82A9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2025'!$H$2</c15:sqref>
                        </c15:formulaRef>
                      </c:ext>
                    </c:extLst>
                    <c:strCache>
                      <c:ptCount val="1"/>
                      <c:pt idx="0">
                        <c:v>Total Savings - Billing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2025'!$H$3:$H$15</c15:sqref>
                        </c15:fullRef>
                        <c15:formulaRef>
                          <c15:sqref>'Monthly Data 2025'!$H$3:$H$14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191.1</c:v>
                      </c:pt>
                      <c:pt idx="1">
                        <c:v>136.5</c:v>
                      </c:pt>
                      <c:pt idx="2">
                        <c:v>148.80000000000001</c:v>
                      </c:pt>
                      <c:pt idx="3">
                        <c:v>684.87</c:v>
                      </c:pt>
                      <c:pt idx="4">
                        <c:v>274.55</c:v>
                      </c:pt>
                      <c:pt idx="5">
                        <c:v>136.64999999999998</c:v>
                      </c:pt>
                      <c:pt idx="6">
                        <c:v>524.29999999999995</c:v>
                      </c:pt>
                      <c:pt idx="7">
                        <c:v>352.79</c:v>
                      </c:pt>
                      <c:pt idx="8">
                        <c:v>393.9</c:v>
                      </c:pt>
                      <c:pt idx="9">
                        <c:v>212.5</c:v>
                      </c:pt>
                      <c:pt idx="10">
                        <c:v>1353</c:v>
                      </c:pt>
                      <c:pt idx="11">
                        <c:v>3045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7E0-4974-90CF-4320BD5D82A9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2025'!$I$2</c15:sqref>
                        </c15:formulaRef>
                      </c:ext>
                    </c:extLst>
                    <c:strCache>
                      <c:ptCount val="1"/>
                      <c:pt idx="0">
                        <c:v>Billability Hours - Billing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2025'!$I$3:$I$15</c15:sqref>
                        </c15:fullRef>
                        <c15:formulaRef>
                          <c15:sqref>'Monthly Data 2025'!$I$3:$I$14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6651.85</c:v>
                      </c:pt>
                      <c:pt idx="1">
                        <c:v>6033</c:v>
                      </c:pt>
                      <c:pt idx="2">
                        <c:v>6090</c:v>
                      </c:pt>
                      <c:pt idx="3">
                        <c:v>6217</c:v>
                      </c:pt>
                      <c:pt idx="4">
                        <c:v>6908</c:v>
                      </c:pt>
                      <c:pt idx="5">
                        <c:v>7306</c:v>
                      </c:pt>
                      <c:pt idx="6">
                        <c:v>10082</c:v>
                      </c:pt>
                      <c:pt idx="7">
                        <c:v>8841</c:v>
                      </c:pt>
                      <c:pt idx="8">
                        <c:v>9505</c:v>
                      </c:pt>
                      <c:pt idx="9">
                        <c:v>8976</c:v>
                      </c:pt>
                      <c:pt idx="10">
                        <c:v>6541</c:v>
                      </c:pt>
                      <c:pt idx="11">
                        <c:v>8606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57E0-4974-90CF-4320BD5D82A9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2025'!$J$2</c15:sqref>
                        </c15:formulaRef>
                      </c:ext>
                    </c:extLst>
                    <c:strCache>
                      <c:ptCount val="1"/>
                      <c:pt idx="0">
                        <c:v>Billing Savings 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2025'!$J$3:$J$15</c15:sqref>
                        </c15:fullRef>
                        <c15:formulaRef>
                          <c15:sqref>'Monthly Data 2025'!$J$3:$J$14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2.8728849868833482E-2</c:v>
                      </c:pt>
                      <c:pt idx="1">
                        <c:v>2.2625559423172553E-2</c:v>
                      </c:pt>
                      <c:pt idx="2">
                        <c:v>2.4433497536945816E-2</c:v>
                      </c:pt>
                      <c:pt idx="3">
                        <c:v>0.11016084928422068</c:v>
                      </c:pt>
                      <c:pt idx="4">
                        <c:v>3.9743775332947311E-2</c:v>
                      </c:pt>
                      <c:pt idx="5">
                        <c:v>1.8703805091705446E-2</c:v>
                      </c:pt>
                      <c:pt idx="6">
                        <c:v>5.2003570720095212E-2</c:v>
                      </c:pt>
                      <c:pt idx="7">
                        <c:v>3.9903857029747768E-2</c:v>
                      </c:pt>
                      <c:pt idx="8">
                        <c:v>4.1441346659652809E-2</c:v>
                      </c:pt>
                      <c:pt idx="9">
                        <c:v>2.3674242424242424E-2</c:v>
                      </c:pt>
                      <c:pt idx="10">
                        <c:v>0.20684910564133924</c:v>
                      </c:pt>
                      <c:pt idx="11">
                        <c:v>0.35382291424587498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7E0-4974-90CF-4320BD5D82A9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2025'!$K$2</c15:sqref>
                        </c15:formulaRef>
                      </c:ext>
                    </c:extLst>
                    <c:strCache>
                      <c:ptCount val="1"/>
                      <c:pt idx="0">
                        <c:v>Total Number of Assets Download - Charging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2025'!$K$3:$K$15</c15:sqref>
                        </c15:fullRef>
                        <c15:formulaRef>
                          <c15:sqref>'Monthly Data 2025'!$K$3:$K$14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285</c:v>
                      </c:pt>
                      <c:pt idx="1">
                        <c:v>213</c:v>
                      </c:pt>
                      <c:pt idx="2">
                        <c:v>223</c:v>
                      </c:pt>
                      <c:pt idx="3">
                        <c:v>258</c:v>
                      </c:pt>
                      <c:pt idx="4">
                        <c:v>355</c:v>
                      </c:pt>
                      <c:pt idx="5">
                        <c:v>277</c:v>
                      </c:pt>
                      <c:pt idx="6">
                        <c:v>309</c:v>
                      </c:pt>
                      <c:pt idx="7">
                        <c:v>229</c:v>
                      </c:pt>
                      <c:pt idx="8">
                        <c:v>153</c:v>
                      </c:pt>
                      <c:pt idx="9">
                        <c:v>99</c:v>
                      </c:pt>
                      <c:pt idx="10">
                        <c:v>96</c:v>
                      </c:pt>
                      <c:pt idx="11">
                        <c:v>193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7E0-4974-90CF-4320BD5D82A9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2025'!$L$2</c15:sqref>
                        </c15:formulaRef>
                      </c:ext>
                    </c:extLst>
                    <c:strCache>
                      <c:ptCount val="1"/>
                      <c:pt idx="0">
                        <c:v>Total Number of Assets Reused with Savings - Charging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2025'!$L$3:$L$15</c15:sqref>
                        </c15:fullRef>
                        <c15:formulaRef>
                          <c15:sqref>'Monthly Data 2025'!$L$3:$L$14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141</c:v>
                      </c:pt>
                      <c:pt idx="1">
                        <c:v>239</c:v>
                      </c:pt>
                      <c:pt idx="2">
                        <c:v>139</c:v>
                      </c:pt>
                      <c:pt idx="3">
                        <c:v>233</c:v>
                      </c:pt>
                      <c:pt idx="4">
                        <c:v>221</c:v>
                      </c:pt>
                      <c:pt idx="5">
                        <c:v>134</c:v>
                      </c:pt>
                      <c:pt idx="6">
                        <c:v>210</c:v>
                      </c:pt>
                      <c:pt idx="7">
                        <c:v>148</c:v>
                      </c:pt>
                      <c:pt idx="8">
                        <c:v>95</c:v>
                      </c:pt>
                      <c:pt idx="9">
                        <c:v>52</c:v>
                      </c:pt>
                      <c:pt idx="10">
                        <c:v>64</c:v>
                      </c:pt>
                      <c:pt idx="11">
                        <c:v>153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7E0-4974-90CF-4320BD5D82A9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2025'!$M$2</c15:sqref>
                        </c15:formulaRef>
                      </c:ext>
                    </c:extLst>
                    <c:strCache>
                      <c:ptCount val="1"/>
                      <c:pt idx="0">
                        <c:v>Pending Feedback - Charging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2025'!$M$3:$M$15</c15:sqref>
                        </c15:fullRef>
                        <c15:formulaRef>
                          <c15:sqref>'Monthly Data 2025'!$M$3:$M$14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44</c:v>
                      </c:pt>
                      <c:pt idx="2">
                        <c:v>62</c:v>
                      </c:pt>
                      <c:pt idx="3">
                        <c:v>139</c:v>
                      </c:pt>
                      <c:pt idx="4">
                        <c:v>67</c:v>
                      </c:pt>
                      <c:pt idx="5">
                        <c:v>58</c:v>
                      </c:pt>
                      <c:pt idx="6">
                        <c:v>73</c:v>
                      </c:pt>
                      <c:pt idx="7">
                        <c:v>92</c:v>
                      </c:pt>
                      <c:pt idx="8">
                        <c:v>140</c:v>
                      </c:pt>
                      <c:pt idx="9">
                        <c:v>187</c:v>
                      </c:pt>
                      <c:pt idx="10">
                        <c:v>193</c:v>
                      </c:pt>
                      <c:pt idx="11">
                        <c:v>221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7E0-4974-90CF-4320BD5D82A9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2025'!$P$2</c15:sqref>
                        </c15:formulaRef>
                      </c:ext>
                    </c:extLst>
                    <c:strCache>
                      <c:ptCount val="1"/>
                      <c:pt idx="0">
                        <c:v>Total Savings - Charging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2025'!$P$3:$P$15</c15:sqref>
                        </c15:fullRef>
                        <c15:formulaRef>
                          <c15:sqref>'Monthly Data 2025'!$P$3:$P$14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4235.24</c:v>
                      </c:pt>
                      <c:pt idx="1">
                        <c:v>5920</c:v>
                      </c:pt>
                      <c:pt idx="2">
                        <c:v>3692.72</c:v>
                      </c:pt>
                      <c:pt idx="3">
                        <c:v>6295.55</c:v>
                      </c:pt>
                      <c:pt idx="4">
                        <c:v>6550.4</c:v>
                      </c:pt>
                      <c:pt idx="5">
                        <c:v>5348.62</c:v>
                      </c:pt>
                      <c:pt idx="6">
                        <c:v>5467.07</c:v>
                      </c:pt>
                      <c:pt idx="7">
                        <c:v>3640.17</c:v>
                      </c:pt>
                      <c:pt idx="8">
                        <c:v>2263.9700000000003</c:v>
                      </c:pt>
                      <c:pt idx="9">
                        <c:v>1843.17</c:v>
                      </c:pt>
                      <c:pt idx="10">
                        <c:v>2080</c:v>
                      </c:pt>
                      <c:pt idx="11">
                        <c:v>4486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7E0-4974-90CF-4320BD5D82A9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2025'!$Q$2</c15:sqref>
                        </c15:formulaRef>
                      </c:ext>
                    </c:extLst>
                    <c:strCache>
                      <c:ptCount val="1"/>
                      <c:pt idx="0">
                        <c:v>Billability Hours - Charging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2025'!$Q$3:$Q$15</c15:sqref>
                        </c15:fullRef>
                        <c15:formulaRef>
                          <c15:sqref>'Monthly Data 2025'!$Q$3:$Q$14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44613</c:v>
                      </c:pt>
                      <c:pt idx="1">
                        <c:v>41659</c:v>
                      </c:pt>
                      <c:pt idx="2">
                        <c:v>40996</c:v>
                      </c:pt>
                      <c:pt idx="3">
                        <c:v>40248</c:v>
                      </c:pt>
                      <c:pt idx="4">
                        <c:v>43121</c:v>
                      </c:pt>
                      <c:pt idx="5">
                        <c:v>40965</c:v>
                      </c:pt>
                      <c:pt idx="6">
                        <c:v>43825</c:v>
                      </c:pt>
                      <c:pt idx="7">
                        <c:v>39175</c:v>
                      </c:pt>
                      <c:pt idx="8">
                        <c:v>40576</c:v>
                      </c:pt>
                      <c:pt idx="9">
                        <c:v>39390</c:v>
                      </c:pt>
                      <c:pt idx="10">
                        <c:v>41298</c:v>
                      </c:pt>
                      <c:pt idx="11">
                        <c:v>29642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57E0-4974-90CF-4320BD5D82A9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2025'!$R$2</c15:sqref>
                        </c15:formulaRef>
                      </c:ext>
                    </c:extLst>
                    <c:strCache>
                      <c:ptCount val="1"/>
                      <c:pt idx="0">
                        <c:v>Charging Savings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2025'!$R$3:$R$15</c15:sqref>
                        </c15:fullRef>
                        <c15:formulaRef>
                          <c15:sqref>'Monthly Data 2025'!$R$3:$R$14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9.4932867101517493E-2</c:v>
                      </c:pt>
                      <c:pt idx="1">
                        <c:v>0.14210614753114573</c:v>
                      </c:pt>
                      <c:pt idx="2">
                        <c:v>9.0075129280905455E-2</c:v>
                      </c:pt>
                      <c:pt idx="3">
                        <c:v>0.15641895249453389</c:v>
                      </c:pt>
                      <c:pt idx="4">
                        <c:v>0.15190742329723336</c:v>
                      </c:pt>
                      <c:pt idx="5">
                        <c:v>0.13056560478457219</c:v>
                      </c:pt>
                      <c:pt idx="6">
                        <c:v>0.12474774671990872</c:v>
                      </c:pt>
                      <c:pt idx="7">
                        <c:v>9.2920740268028088E-2</c:v>
                      </c:pt>
                      <c:pt idx="8">
                        <c:v>5.5795790615141963E-2</c:v>
                      </c:pt>
                      <c:pt idx="9">
                        <c:v>4.6792840822543792E-2</c:v>
                      </c:pt>
                      <c:pt idx="10">
                        <c:v>5.036563513971621E-2</c:v>
                      </c:pt>
                      <c:pt idx="11">
                        <c:v>0.15133931583563862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57E0-4974-90CF-4320BD5D82A9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2025'!$S$2</c15:sqref>
                        </c15:formulaRef>
                      </c:ext>
                    </c:extLst>
                    <c:strCache>
                      <c:ptCount val="1"/>
                      <c:pt idx="0">
                        <c:v>Total Savings - Monetization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2025'!$S$3:$S$15</c15:sqref>
                        </c15:fullRef>
                        <c15:formulaRef>
                          <c15:sqref>'Monthly Data 2025'!$S$3:$S$14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4426.34</c:v>
                      </c:pt>
                      <c:pt idx="1">
                        <c:v>6056.5</c:v>
                      </c:pt>
                      <c:pt idx="2">
                        <c:v>3841.52</c:v>
                      </c:pt>
                      <c:pt idx="3">
                        <c:v>6980.42</c:v>
                      </c:pt>
                      <c:pt idx="4">
                        <c:v>6824.95</c:v>
                      </c:pt>
                      <c:pt idx="5">
                        <c:v>5485.2699999999995</c:v>
                      </c:pt>
                      <c:pt idx="6">
                        <c:v>5991.37</c:v>
                      </c:pt>
                      <c:pt idx="7">
                        <c:v>3992.96</c:v>
                      </c:pt>
                      <c:pt idx="8">
                        <c:v>2657.8700000000003</c:v>
                      </c:pt>
                      <c:pt idx="9">
                        <c:v>2055.67</c:v>
                      </c:pt>
                      <c:pt idx="10">
                        <c:v>3433</c:v>
                      </c:pt>
                      <c:pt idx="11">
                        <c:v>7531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7E0-4974-90CF-4320BD5D82A9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2025'!$T$2</c15:sqref>
                        </c15:formulaRef>
                      </c:ext>
                    </c:extLst>
                    <c:strCache>
                      <c:ptCount val="1"/>
                      <c:pt idx="0">
                        <c:v>Billability Hours - Monetization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8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8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8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2025'!$T$3:$T$15</c15:sqref>
                        </c15:fullRef>
                        <c15:formulaRef>
                          <c15:sqref>'Monthly Data 2025'!$T$3:$T$14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51264.85</c:v>
                      </c:pt>
                      <c:pt idx="1">
                        <c:v>47692</c:v>
                      </c:pt>
                      <c:pt idx="2">
                        <c:v>47086</c:v>
                      </c:pt>
                      <c:pt idx="3">
                        <c:v>46465</c:v>
                      </c:pt>
                      <c:pt idx="4">
                        <c:v>50029</c:v>
                      </c:pt>
                      <c:pt idx="5">
                        <c:v>48271</c:v>
                      </c:pt>
                      <c:pt idx="6">
                        <c:v>53907</c:v>
                      </c:pt>
                      <c:pt idx="7">
                        <c:v>48016</c:v>
                      </c:pt>
                      <c:pt idx="8">
                        <c:v>50081</c:v>
                      </c:pt>
                      <c:pt idx="9">
                        <c:v>48366</c:v>
                      </c:pt>
                      <c:pt idx="10">
                        <c:v>47839</c:v>
                      </c:pt>
                      <c:pt idx="11">
                        <c:v>38248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57E0-4974-90CF-4320BD5D82A9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2025'!$U$2</c15:sqref>
                        </c15:formulaRef>
                      </c:ext>
                    </c:extLst>
                    <c:strCache>
                      <c:ptCount val="1"/>
                      <c:pt idx="0">
                        <c:v>Monetization Savings 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8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8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8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2025'!$U$3:$U$15</c15:sqref>
                        </c15:fullRef>
                        <c15:formulaRef>
                          <c15:sqref>'Monthly Data 2025'!$U$3:$U$14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8.6342591463741736E-2</c:v>
                      </c:pt>
                      <c:pt idx="1">
                        <c:v>0.12699194833515054</c:v>
                      </c:pt>
                      <c:pt idx="2">
                        <c:v>8.1585184555918955E-2</c:v>
                      </c:pt>
                      <c:pt idx="3">
                        <c:v>0.15022963520929733</c:v>
                      </c:pt>
                      <c:pt idx="4">
                        <c:v>0.13641987647164644</c:v>
                      </c:pt>
                      <c:pt idx="5">
                        <c:v>0.11363489465724762</c:v>
                      </c:pt>
                      <c:pt idx="6">
                        <c:v>0.11114270873912478</c:v>
                      </c:pt>
                      <c:pt idx="7">
                        <c:v>8.3158947017660786E-2</c:v>
                      </c:pt>
                      <c:pt idx="8">
                        <c:v>5.307142429264592E-2</c:v>
                      </c:pt>
                      <c:pt idx="9">
                        <c:v>4.2502377703345327E-2</c:v>
                      </c:pt>
                      <c:pt idx="10">
                        <c:v>7.1761533476870337E-2</c:v>
                      </c:pt>
                      <c:pt idx="11">
                        <c:v>0.196899184271073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57E0-4974-90CF-4320BD5D82A9}"/>
                  </c:ext>
                </c:extLst>
              </c15:ser>
            </c15:filteredBarSeries>
          </c:ext>
        </c:extLst>
      </c:barChart>
      <c:catAx>
        <c:axId val="1434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67"/>
        <c:crosses val="autoZero"/>
        <c:auto val="1"/>
        <c:lblAlgn val="ctr"/>
        <c:lblOffset val="100"/>
        <c:noMultiLvlLbl val="0"/>
      </c:catAx>
      <c:valAx>
        <c:axId val="211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Charging Download / Feedback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Data 2025'!$K$2</c:f>
              <c:strCache>
                <c:ptCount val="1"/>
                <c:pt idx="0">
                  <c:v>Total Number of Assets Download - Charging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Data 2025'!$A$3:$A$14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Data 2025'!$K$3:$K$14</c:f>
              <c:numCache>
                <c:formatCode>General</c:formatCode>
                <c:ptCount val="12"/>
                <c:pt idx="0">
                  <c:v>285</c:v>
                </c:pt>
                <c:pt idx="1">
                  <c:v>213</c:v>
                </c:pt>
                <c:pt idx="2">
                  <c:v>223</c:v>
                </c:pt>
                <c:pt idx="3">
                  <c:v>258</c:v>
                </c:pt>
                <c:pt idx="4">
                  <c:v>355</c:v>
                </c:pt>
                <c:pt idx="5">
                  <c:v>277</c:v>
                </c:pt>
                <c:pt idx="6">
                  <c:v>309</c:v>
                </c:pt>
                <c:pt idx="7">
                  <c:v>229</c:v>
                </c:pt>
                <c:pt idx="8">
                  <c:v>153</c:v>
                </c:pt>
                <c:pt idx="9">
                  <c:v>99</c:v>
                </c:pt>
                <c:pt idx="10">
                  <c:v>96</c:v>
                </c:pt>
                <c:pt idx="11">
                  <c:v>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1-4CE8-BA77-5C569E521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3713072"/>
        <c:axId val="674117904"/>
      </c:barChart>
      <c:lineChart>
        <c:grouping val="standard"/>
        <c:varyColors val="0"/>
        <c:ser>
          <c:idx val="1"/>
          <c:order val="1"/>
          <c:tx>
            <c:strRef>
              <c:f>'Monthly Data 2025'!$L$2</c:f>
              <c:strCache>
                <c:ptCount val="1"/>
                <c:pt idx="0">
                  <c:v>Total Number of Assets Reused with Savings - Charging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Data 2025'!$A$3:$A$11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'Monthly Data 2025'!$L$3:$L$11</c:f>
              <c:numCache>
                <c:formatCode>General</c:formatCode>
                <c:ptCount val="9"/>
                <c:pt idx="0">
                  <c:v>141</c:v>
                </c:pt>
                <c:pt idx="1">
                  <c:v>239</c:v>
                </c:pt>
                <c:pt idx="2">
                  <c:v>139</c:v>
                </c:pt>
                <c:pt idx="3">
                  <c:v>233</c:v>
                </c:pt>
                <c:pt idx="4">
                  <c:v>221</c:v>
                </c:pt>
                <c:pt idx="5">
                  <c:v>134</c:v>
                </c:pt>
                <c:pt idx="6">
                  <c:v>210</c:v>
                </c:pt>
                <c:pt idx="7">
                  <c:v>148</c:v>
                </c:pt>
                <c:pt idx="8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11-4CE8-BA77-5C569E5214E6}"/>
            </c:ext>
          </c:extLst>
        </c:ser>
        <c:ser>
          <c:idx val="2"/>
          <c:order val="2"/>
          <c:tx>
            <c:strRef>
              <c:f>'Monthly Data 2025'!$M$2</c:f>
              <c:strCache>
                <c:ptCount val="1"/>
                <c:pt idx="0">
                  <c:v>Pending Feedback - Charging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Data 2025'!$A$3:$A$11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'Monthly Data 2025'!$M$3:$M$11</c:f>
              <c:numCache>
                <c:formatCode>General</c:formatCode>
                <c:ptCount val="9"/>
                <c:pt idx="0">
                  <c:v>49</c:v>
                </c:pt>
                <c:pt idx="1">
                  <c:v>44</c:v>
                </c:pt>
                <c:pt idx="2">
                  <c:v>62</c:v>
                </c:pt>
                <c:pt idx="3">
                  <c:v>139</c:v>
                </c:pt>
                <c:pt idx="4">
                  <c:v>67</c:v>
                </c:pt>
                <c:pt idx="5">
                  <c:v>58</c:v>
                </c:pt>
                <c:pt idx="6">
                  <c:v>73</c:v>
                </c:pt>
                <c:pt idx="7">
                  <c:v>92</c:v>
                </c:pt>
                <c:pt idx="8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11-4CE8-BA77-5C569E521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3713072"/>
        <c:axId val="674117904"/>
      </c:lineChart>
      <c:catAx>
        <c:axId val="89371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117904"/>
        <c:crosses val="autoZero"/>
        <c:auto val="1"/>
        <c:lblAlgn val="ctr"/>
        <c:lblOffset val="100"/>
        <c:noMultiLvlLbl val="0"/>
      </c:catAx>
      <c:valAx>
        <c:axId val="6741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3713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Billing Download / Feedback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'Monthly Data 2025'!$C$2</c:f>
              <c:strCache>
                <c:ptCount val="1"/>
                <c:pt idx="0">
                  <c:v>Total Number of Assets Download - Billing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2025'!$A$3:$A$19</c15:sqref>
                  </c15:fullRef>
                </c:ext>
              </c:extLst>
              <c:f>'Monthly Data 2025'!$A$3:$A$14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2025'!$C$3:$C$19</c15:sqref>
                  </c15:fullRef>
                </c:ext>
              </c:extLst>
              <c:f>'Monthly Data 2025'!$C$3:$C$14</c:f>
              <c:numCache>
                <c:formatCode>General</c:formatCode>
                <c:ptCount val="12"/>
                <c:pt idx="0">
                  <c:v>20</c:v>
                </c:pt>
                <c:pt idx="1">
                  <c:v>20</c:v>
                </c:pt>
                <c:pt idx="2">
                  <c:v>9</c:v>
                </c:pt>
                <c:pt idx="3">
                  <c:v>20</c:v>
                </c:pt>
                <c:pt idx="4">
                  <c:v>29</c:v>
                </c:pt>
                <c:pt idx="5">
                  <c:v>22</c:v>
                </c:pt>
                <c:pt idx="6">
                  <c:v>34</c:v>
                </c:pt>
                <c:pt idx="7">
                  <c:v>17</c:v>
                </c:pt>
                <c:pt idx="8">
                  <c:v>8</c:v>
                </c:pt>
                <c:pt idx="9">
                  <c:v>39</c:v>
                </c:pt>
                <c:pt idx="10">
                  <c:v>27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6A-4488-8D44-6FB8A6C99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1248192"/>
        <c:axId val="47271910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'Monthly Data 2025'!$B$2</c15:sqref>
                        </c15:formulaRef>
                      </c:ext>
                    </c:extLst>
                    <c:strCache>
                      <c:ptCount val="1"/>
                      <c:pt idx="0">
                        <c:v>Monetization KPI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'Monthly Data 2025'!$A$3:$A$19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'Monthly Data 2025'!$B$3:$B$19</c15:sqref>
                        </c15:fullRef>
                        <c15:formulaRef>
                          <c15:sqref>'Monthly Data 2025'!$B$3:$B$14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0.16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0.16</c:v>
                      </c:pt>
                      <c:pt idx="4">
                        <c:v>0.16</c:v>
                      </c:pt>
                      <c:pt idx="5">
                        <c:v>0.16</c:v>
                      </c:pt>
                      <c:pt idx="6">
                        <c:v>0.16</c:v>
                      </c:pt>
                      <c:pt idx="7">
                        <c:v>0.16</c:v>
                      </c:pt>
                      <c:pt idx="8">
                        <c:v>0.16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F6A-4488-8D44-6FB8A6C9910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Data 2025'!$F$2</c15:sqref>
                        </c15:formulaRef>
                      </c:ext>
                    </c:extLst>
                    <c:strCache>
                      <c:ptCount val="1"/>
                      <c:pt idx="0">
                        <c:v>Asset Savings - Billing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2025'!$A$3:$A$19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2025'!$F$3:$F$19</c15:sqref>
                        </c15:fullRef>
                        <c15:formulaRef>
                          <c15:sqref>'Monthly Data 2025'!$F$3:$F$14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143</c:v>
                      </c:pt>
                      <c:pt idx="1">
                        <c:v>112</c:v>
                      </c:pt>
                      <c:pt idx="2">
                        <c:v>148</c:v>
                      </c:pt>
                      <c:pt idx="3">
                        <c:v>684.42</c:v>
                      </c:pt>
                      <c:pt idx="4">
                        <c:v>254.9</c:v>
                      </c:pt>
                      <c:pt idx="5">
                        <c:v>131.19999999999999</c:v>
                      </c:pt>
                      <c:pt idx="6">
                        <c:v>502.2</c:v>
                      </c:pt>
                      <c:pt idx="7">
                        <c:v>26.3</c:v>
                      </c:pt>
                      <c:pt idx="8">
                        <c:v>379.5</c:v>
                      </c:pt>
                      <c:pt idx="9">
                        <c:v>212</c:v>
                      </c:pt>
                      <c:pt idx="10">
                        <c:v>289</c:v>
                      </c:pt>
                      <c:pt idx="11">
                        <c:v>1901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F6A-4488-8D44-6FB8A6C9910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Data 2025'!$G$2</c15:sqref>
                        </c15:formulaRef>
                      </c:ext>
                    </c:extLst>
                    <c:strCache>
                      <c:ptCount val="1"/>
                      <c:pt idx="0">
                        <c:v>Automation Savings - Billing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2025'!$A$3:$A$19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2025'!$G$3:$G$19</c15:sqref>
                        </c15:fullRef>
                        <c15:formulaRef>
                          <c15:sqref>'Monthly Data 2025'!$G$3:$G$14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48.1</c:v>
                      </c:pt>
                      <c:pt idx="1">
                        <c:v>24.5</c:v>
                      </c:pt>
                      <c:pt idx="2">
                        <c:v>0.8</c:v>
                      </c:pt>
                      <c:pt idx="3">
                        <c:v>0.45</c:v>
                      </c:pt>
                      <c:pt idx="4">
                        <c:v>19.649999999999999</c:v>
                      </c:pt>
                      <c:pt idx="5">
                        <c:v>5.45</c:v>
                      </c:pt>
                      <c:pt idx="6">
                        <c:v>22.1</c:v>
                      </c:pt>
                      <c:pt idx="7">
                        <c:v>326.49</c:v>
                      </c:pt>
                      <c:pt idx="8">
                        <c:v>14.4</c:v>
                      </c:pt>
                      <c:pt idx="9">
                        <c:v>0.5</c:v>
                      </c:pt>
                      <c:pt idx="10">
                        <c:v>1064</c:v>
                      </c:pt>
                      <c:pt idx="11">
                        <c:v>1144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F6A-4488-8D44-6FB8A6C9910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Data 2025'!$H$2</c15:sqref>
                        </c15:formulaRef>
                      </c:ext>
                    </c:extLst>
                    <c:strCache>
                      <c:ptCount val="1"/>
                      <c:pt idx="0">
                        <c:v>Total Savings - Billing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2025'!$A$3:$A$19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2025'!$H$3:$H$19</c15:sqref>
                        </c15:fullRef>
                        <c15:formulaRef>
                          <c15:sqref>'Monthly Data 2025'!$H$3:$H$14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191.1</c:v>
                      </c:pt>
                      <c:pt idx="1">
                        <c:v>136.5</c:v>
                      </c:pt>
                      <c:pt idx="2">
                        <c:v>148.80000000000001</c:v>
                      </c:pt>
                      <c:pt idx="3">
                        <c:v>684.87</c:v>
                      </c:pt>
                      <c:pt idx="4">
                        <c:v>274.55</c:v>
                      </c:pt>
                      <c:pt idx="5">
                        <c:v>136.64999999999998</c:v>
                      </c:pt>
                      <c:pt idx="6">
                        <c:v>524.29999999999995</c:v>
                      </c:pt>
                      <c:pt idx="7">
                        <c:v>352.79</c:v>
                      </c:pt>
                      <c:pt idx="8">
                        <c:v>393.9</c:v>
                      </c:pt>
                      <c:pt idx="9">
                        <c:v>212.5</c:v>
                      </c:pt>
                      <c:pt idx="10">
                        <c:v>1353</c:v>
                      </c:pt>
                      <c:pt idx="11">
                        <c:v>3045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F6A-4488-8D44-6FB8A6C9910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Data 2025'!$I$2</c15:sqref>
                        </c15:formulaRef>
                      </c:ext>
                    </c:extLst>
                    <c:strCache>
                      <c:ptCount val="1"/>
                      <c:pt idx="0">
                        <c:v>Billability Hours - Billing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2025'!$A$3:$A$19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2025'!$I$3:$I$19</c15:sqref>
                        </c15:fullRef>
                        <c15:formulaRef>
                          <c15:sqref>'Monthly Data 2025'!$I$3:$I$14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6651.85</c:v>
                      </c:pt>
                      <c:pt idx="1">
                        <c:v>6033</c:v>
                      </c:pt>
                      <c:pt idx="2">
                        <c:v>6090</c:v>
                      </c:pt>
                      <c:pt idx="3">
                        <c:v>6217</c:v>
                      </c:pt>
                      <c:pt idx="4">
                        <c:v>6908</c:v>
                      </c:pt>
                      <c:pt idx="5">
                        <c:v>7306</c:v>
                      </c:pt>
                      <c:pt idx="6">
                        <c:v>10082</c:v>
                      </c:pt>
                      <c:pt idx="7">
                        <c:v>8841</c:v>
                      </c:pt>
                      <c:pt idx="8">
                        <c:v>9505</c:v>
                      </c:pt>
                      <c:pt idx="9">
                        <c:v>8976</c:v>
                      </c:pt>
                      <c:pt idx="10">
                        <c:v>6541</c:v>
                      </c:pt>
                      <c:pt idx="11">
                        <c:v>8606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F6A-4488-8D44-6FB8A6C9910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Data 2025'!$J$2</c15:sqref>
                        </c15:formulaRef>
                      </c:ext>
                    </c:extLst>
                    <c:strCache>
                      <c:ptCount val="1"/>
                      <c:pt idx="0">
                        <c:v>Billing Savings 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2025'!$A$3:$A$19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2025'!$J$3:$J$19</c15:sqref>
                        </c15:fullRef>
                        <c15:formulaRef>
                          <c15:sqref>'Monthly Data 2025'!$J$3:$J$14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2.8728849868833482E-2</c:v>
                      </c:pt>
                      <c:pt idx="1">
                        <c:v>2.2625559423172553E-2</c:v>
                      </c:pt>
                      <c:pt idx="2">
                        <c:v>2.4433497536945816E-2</c:v>
                      </c:pt>
                      <c:pt idx="3">
                        <c:v>0.11016084928422068</c:v>
                      </c:pt>
                      <c:pt idx="4">
                        <c:v>3.9743775332947311E-2</c:v>
                      </c:pt>
                      <c:pt idx="5">
                        <c:v>1.8703805091705446E-2</c:v>
                      </c:pt>
                      <c:pt idx="6">
                        <c:v>5.2003570720095212E-2</c:v>
                      </c:pt>
                      <c:pt idx="7">
                        <c:v>3.9903857029747768E-2</c:v>
                      </c:pt>
                      <c:pt idx="8">
                        <c:v>4.1441346659652809E-2</c:v>
                      </c:pt>
                      <c:pt idx="9">
                        <c:v>2.3674242424242424E-2</c:v>
                      </c:pt>
                      <c:pt idx="10">
                        <c:v>0.20684910564133924</c:v>
                      </c:pt>
                      <c:pt idx="11">
                        <c:v>0.35382291424587498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1F6A-4488-8D44-6FB8A6C9910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2"/>
          <c:order val="2"/>
          <c:tx>
            <c:strRef>
              <c:f>'Monthly Data 2025'!$D$2</c:f>
              <c:strCache>
                <c:ptCount val="1"/>
                <c:pt idx="0">
                  <c:v>Total Number of Assets Reused with Savings - Billing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2025'!$A$3:$A$19</c15:sqref>
                  </c15:fullRef>
                </c:ext>
              </c:extLst>
              <c:f>'Monthly Data 2025'!$A$3:$A$14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2025'!$D$3:$D$19</c15:sqref>
                  </c15:fullRef>
                </c:ext>
              </c:extLst>
              <c:f>'Monthly Data 2025'!$D$3:$D$14</c:f>
              <c:numCache>
                <c:formatCode>General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10</c:v>
                </c:pt>
                <c:pt idx="4">
                  <c:v>10</c:v>
                </c:pt>
                <c:pt idx="5">
                  <c:v>7</c:v>
                </c:pt>
                <c:pt idx="6">
                  <c:v>6</c:v>
                </c:pt>
                <c:pt idx="7">
                  <c:v>10</c:v>
                </c:pt>
                <c:pt idx="8">
                  <c:v>5</c:v>
                </c:pt>
                <c:pt idx="9">
                  <c:v>6</c:v>
                </c:pt>
                <c:pt idx="10">
                  <c:v>19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6A-4488-8D44-6FB8A6C99106}"/>
            </c:ext>
          </c:extLst>
        </c:ser>
        <c:ser>
          <c:idx val="3"/>
          <c:order val="3"/>
          <c:tx>
            <c:strRef>
              <c:f>'Monthly Data 2025'!$E$2</c:f>
              <c:strCache>
                <c:ptCount val="1"/>
                <c:pt idx="0">
                  <c:v>Pending Feedback - Billing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2025'!$A$3:$A$19</c15:sqref>
                  </c15:fullRef>
                </c:ext>
              </c:extLst>
              <c:f>'Monthly Data 2025'!$A$3:$A$14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2025'!$E$3:$E$19</c15:sqref>
                  </c15:fullRef>
                </c:ext>
              </c:extLst>
              <c:f>'Monthly Data 2025'!$E$3:$E$14</c:f>
              <c:numCache>
                <c:formatCode>General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3</c:v>
                </c:pt>
                <c:pt idx="5">
                  <c:v>13</c:v>
                </c:pt>
                <c:pt idx="6">
                  <c:v>3</c:v>
                </c:pt>
                <c:pt idx="7">
                  <c:v>28</c:v>
                </c:pt>
                <c:pt idx="8">
                  <c:v>31</c:v>
                </c:pt>
                <c:pt idx="9">
                  <c:v>46</c:v>
                </c:pt>
                <c:pt idx="10">
                  <c:v>49</c:v>
                </c:pt>
                <c:pt idx="1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6A-4488-8D44-6FB8A6C99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248192"/>
        <c:axId val="472719103"/>
      </c:lineChart>
      <c:catAx>
        <c:axId val="15712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719103"/>
        <c:crosses val="autoZero"/>
        <c:auto val="1"/>
        <c:lblAlgn val="ctr"/>
        <c:lblOffset val="100"/>
        <c:noMultiLvlLbl val="0"/>
      </c:catAx>
      <c:valAx>
        <c:axId val="47271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24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bg1"/>
                </a:solidFill>
              </a:rPr>
              <a:t>Billing Savings in hours</a:t>
            </a:r>
          </a:p>
        </c:rich>
      </c:tx>
      <c:layout>
        <c:manualLayout>
          <c:xMode val="edge"/>
          <c:yMode val="edge"/>
          <c:x val="0.13447104176458766"/>
          <c:y val="1.8575675693859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6"/>
          <c:order val="6"/>
          <c:tx>
            <c:strRef>
              <c:f>'Monthly Data 2025'!$H$2</c:f>
              <c:strCache>
                <c:ptCount val="1"/>
                <c:pt idx="0">
                  <c:v>Total Savings - Billing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2025'!$A$3:$A$19</c15:sqref>
                  </c15:fullRef>
                </c:ext>
              </c:extLst>
              <c:f>'Monthly Data 2025'!$A$3:$A$15</c:f>
              <c:strCache>
                <c:ptCount val="1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YTD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2025'!$H$3:$H$19</c15:sqref>
                  </c15:fullRef>
                </c:ext>
              </c:extLst>
              <c:f>'Monthly Data 2025'!$H$3:$H$15</c:f>
              <c:numCache>
                <c:formatCode>General</c:formatCode>
                <c:ptCount val="13"/>
                <c:pt idx="0">
                  <c:v>191.1</c:v>
                </c:pt>
                <c:pt idx="1">
                  <c:v>136.5</c:v>
                </c:pt>
                <c:pt idx="2">
                  <c:v>148.80000000000001</c:v>
                </c:pt>
                <c:pt idx="3">
                  <c:v>684.87</c:v>
                </c:pt>
                <c:pt idx="4">
                  <c:v>274.55</c:v>
                </c:pt>
                <c:pt idx="5">
                  <c:v>136.64999999999998</c:v>
                </c:pt>
                <c:pt idx="6">
                  <c:v>524.29999999999995</c:v>
                </c:pt>
                <c:pt idx="7">
                  <c:v>352.79</c:v>
                </c:pt>
                <c:pt idx="8">
                  <c:v>393.9</c:v>
                </c:pt>
                <c:pt idx="9">
                  <c:v>212.5</c:v>
                </c:pt>
                <c:pt idx="10">
                  <c:v>1353</c:v>
                </c:pt>
                <c:pt idx="11">
                  <c:v>3045</c:v>
                </c:pt>
                <c:pt idx="12">
                  <c:v>7453.9599999999991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44-4DC0-A4B9-ED1257B9E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789984271"/>
        <c:axId val="5588120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'Monthly Data 2025'!$B$2</c15:sqref>
                        </c15:formulaRef>
                      </c:ext>
                    </c:extLst>
                    <c:strCache>
                      <c:ptCount val="1"/>
                      <c:pt idx="0">
                        <c:v>Monetization KPI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'Monthly Data 2025'!$A$3:$A$19</c15:sqref>
                        </c15:fullRef>
                        <c15:formulaRef>
                          <c15:sqref>'Monthly Data 2025'!$A$3:$A$15</c15:sqref>
                        </c15:formulaRef>
                      </c:ext>
                    </c:extLst>
                    <c:strCache>
                      <c:ptCount val="13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  <c:pt idx="12">
                        <c:v>YTD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'Monthly Data 2025'!$B$3:$B$19</c15:sqref>
                        </c15:fullRef>
                        <c15:formulaRef>
                          <c15:sqref>'Monthly Data 2025'!$B$3:$B$15</c15:sqref>
                        </c15:formulaRef>
                      </c:ext>
                    </c:extLst>
                    <c:numCache>
                      <c:formatCode>0.00%</c:formatCode>
                      <c:ptCount val="13"/>
                      <c:pt idx="0">
                        <c:v>0.16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0.16</c:v>
                      </c:pt>
                      <c:pt idx="4">
                        <c:v>0.16</c:v>
                      </c:pt>
                      <c:pt idx="5">
                        <c:v>0.16</c:v>
                      </c:pt>
                      <c:pt idx="6">
                        <c:v>0.16</c:v>
                      </c:pt>
                      <c:pt idx="7">
                        <c:v>0.16</c:v>
                      </c:pt>
                      <c:pt idx="8">
                        <c:v>0.16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0.16</c:v>
                      </c:pt>
                      <c:pt idx="12">
                        <c:v>0.16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8E44-4DC0-A4B9-ED1257B9E33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Data 2025'!$C$2</c15:sqref>
                        </c15:formulaRef>
                      </c:ext>
                    </c:extLst>
                    <c:strCache>
                      <c:ptCount val="1"/>
                      <c:pt idx="0">
                        <c:v>Total Number of Assets Download - Billing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2025'!$A$3:$A$19</c15:sqref>
                        </c15:fullRef>
                        <c15:formulaRef>
                          <c15:sqref>'Monthly Data 2025'!$A$3:$A$15</c15:sqref>
                        </c15:formulaRef>
                      </c:ext>
                    </c:extLst>
                    <c:strCache>
                      <c:ptCount val="13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  <c:pt idx="12">
                        <c:v>YTD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2025'!$C$3:$C$19</c15:sqref>
                        </c15:fullRef>
                        <c15:formulaRef>
                          <c15:sqref>'Monthly Data 2025'!$C$3:$C$15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</c:v>
                      </c:pt>
                      <c:pt idx="1">
                        <c:v>20</c:v>
                      </c:pt>
                      <c:pt idx="2">
                        <c:v>9</c:v>
                      </c:pt>
                      <c:pt idx="3">
                        <c:v>20</c:v>
                      </c:pt>
                      <c:pt idx="4">
                        <c:v>29</c:v>
                      </c:pt>
                      <c:pt idx="5">
                        <c:v>22</c:v>
                      </c:pt>
                      <c:pt idx="6">
                        <c:v>34</c:v>
                      </c:pt>
                      <c:pt idx="7">
                        <c:v>17</c:v>
                      </c:pt>
                      <c:pt idx="8">
                        <c:v>8</c:v>
                      </c:pt>
                      <c:pt idx="9">
                        <c:v>39</c:v>
                      </c:pt>
                      <c:pt idx="10">
                        <c:v>27</c:v>
                      </c:pt>
                      <c:pt idx="11">
                        <c:v>31</c:v>
                      </c:pt>
                      <c:pt idx="12">
                        <c:v>276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E44-4DC0-A4B9-ED1257B9E33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Data 2025'!$D$2</c15:sqref>
                        </c15:formulaRef>
                      </c:ext>
                    </c:extLst>
                    <c:strCache>
                      <c:ptCount val="1"/>
                      <c:pt idx="0">
                        <c:v>Total Number of Assets Reused with Savings - Billing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2025'!$A$3:$A$19</c15:sqref>
                        </c15:fullRef>
                        <c15:formulaRef>
                          <c15:sqref>'Monthly Data 2025'!$A$3:$A$15</c15:sqref>
                        </c15:formulaRef>
                      </c:ext>
                    </c:extLst>
                    <c:strCache>
                      <c:ptCount val="13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  <c:pt idx="12">
                        <c:v>YTD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2025'!$D$3:$D$19</c15:sqref>
                        </c15:fullRef>
                        <c15:formulaRef>
                          <c15:sqref>'Monthly Data 2025'!$D$3:$D$15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</c:v>
                      </c:pt>
                      <c:pt idx="1">
                        <c:v>5</c:v>
                      </c:pt>
                      <c:pt idx="2">
                        <c:v>4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7</c:v>
                      </c:pt>
                      <c:pt idx="6">
                        <c:v>6</c:v>
                      </c:pt>
                      <c:pt idx="7">
                        <c:v>10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19</c:v>
                      </c:pt>
                      <c:pt idx="11">
                        <c:v>22</c:v>
                      </c:pt>
                      <c:pt idx="12">
                        <c:v>108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E44-4DC0-A4B9-ED1257B9E33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Data 2025'!$E$2</c15:sqref>
                        </c15:formulaRef>
                      </c:ext>
                    </c:extLst>
                    <c:strCache>
                      <c:ptCount val="1"/>
                      <c:pt idx="0">
                        <c:v>Pending Feedback - Billing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2025'!$A$3:$A$19</c15:sqref>
                        </c15:fullRef>
                        <c15:formulaRef>
                          <c15:sqref>'Monthly Data 2025'!$A$3:$A$15</c15:sqref>
                        </c15:formulaRef>
                      </c:ext>
                    </c:extLst>
                    <c:strCache>
                      <c:ptCount val="13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  <c:pt idx="12">
                        <c:v>YTD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2025'!$E$3:$E$19</c15:sqref>
                        </c15:fullRef>
                        <c15:formulaRef>
                          <c15:sqref>'Monthly Data 2025'!$E$3:$E$15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6</c:v>
                      </c:pt>
                      <c:pt idx="4">
                        <c:v>3</c:v>
                      </c:pt>
                      <c:pt idx="5">
                        <c:v>13</c:v>
                      </c:pt>
                      <c:pt idx="6">
                        <c:v>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46</c:v>
                      </c:pt>
                      <c:pt idx="10">
                        <c:v>49</c:v>
                      </c:pt>
                      <c:pt idx="11">
                        <c:v>52</c:v>
                      </c:pt>
                      <c:pt idx="12">
                        <c:v>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E44-4DC0-A4B9-ED1257B9E33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Data 2025'!$F$2</c15:sqref>
                        </c15:formulaRef>
                      </c:ext>
                    </c:extLst>
                    <c:strCache>
                      <c:ptCount val="1"/>
                      <c:pt idx="0">
                        <c:v>Asset Savings - Billing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2025'!$A$3:$A$19</c15:sqref>
                        </c15:fullRef>
                        <c15:formulaRef>
                          <c15:sqref>'Monthly Data 2025'!$A$3:$A$15</c15:sqref>
                        </c15:formulaRef>
                      </c:ext>
                    </c:extLst>
                    <c:strCache>
                      <c:ptCount val="13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  <c:pt idx="12">
                        <c:v>YTD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2025'!$F$3:$F$19</c15:sqref>
                        </c15:fullRef>
                        <c15:formulaRef>
                          <c15:sqref>'Monthly Data 2025'!$F$3:$F$15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143</c:v>
                      </c:pt>
                      <c:pt idx="1">
                        <c:v>112</c:v>
                      </c:pt>
                      <c:pt idx="2">
                        <c:v>148</c:v>
                      </c:pt>
                      <c:pt idx="3">
                        <c:v>684.42</c:v>
                      </c:pt>
                      <c:pt idx="4">
                        <c:v>254.9</c:v>
                      </c:pt>
                      <c:pt idx="5">
                        <c:v>131.19999999999999</c:v>
                      </c:pt>
                      <c:pt idx="6">
                        <c:v>502.2</c:v>
                      </c:pt>
                      <c:pt idx="7">
                        <c:v>26.3</c:v>
                      </c:pt>
                      <c:pt idx="8">
                        <c:v>379.5</c:v>
                      </c:pt>
                      <c:pt idx="9">
                        <c:v>212</c:v>
                      </c:pt>
                      <c:pt idx="10">
                        <c:v>289</c:v>
                      </c:pt>
                      <c:pt idx="11">
                        <c:v>1901</c:v>
                      </c:pt>
                      <c:pt idx="12">
                        <c:v>4783.5200000000004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E44-4DC0-A4B9-ED1257B9E33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'Monthly Data 2025'!$G$2</c15:sqref>
                        </c15:formulaRef>
                      </c:ext>
                    </c:extLst>
                    <c:strCache>
                      <c:ptCount val="1"/>
                      <c:pt idx="0">
                        <c:v>Automation Savings - Billing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2025'!$A$3:$A$19</c15:sqref>
                        </c15:fullRef>
                        <c15:formulaRef>
                          <c15:sqref>'Monthly Data 2025'!$A$3:$A$15</c15:sqref>
                        </c15:formulaRef>
                      </c:ext>
                    </c:extLst>
                    <c:strCache>
                      <c:ptCount val="13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  <c:pt idx="12">
                        <c:v>YTD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2025'!$G$3:$G$19</c15:sqref>
                        </c15:fullRef>
                        <c15:formulaRef>
                          <c15:sqref>'Monthly Data 2025'!$G$3:$G$15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48.1</c:v>
                      </c:pt>
                      <c:pt idx="1">
                        <c:v>24.5</c:v>
                      </c:pt>
                      <c:pt idx="2">
                        <c:v>0.8</c:v>
                      </c:pt>
                      <c:pt idx="3">
                        <c:v>0.45</c:v>
                      </c:pt>
                      <c:pt idx="4">
                        <c:v>19.649999999999999</c:v>
                      </c:pt>
                      <c:pt idx="5">
                        <c:v>5.45</c:v>
                      </c:pt>
                      <c:pt idx="6">
                        <c:v>22.1</c:v>
                      </c:pt>
                      <c:pt idx="7">
                        <c:v>326.49</c:v>
                      </c:pt>
                      <c:pt idx="8">
                        <c:v>14.4</c:v>
                      </c:pt>
                      <c:pt idx="9">
                        <c:v>0.5</c:v>
                      </c:pt>
                      <c:pt idx="10">
                        <c:v>1064</c:v>
                      </c:pt>
                      <c:pt idx="11">
                        <c:v>1144</c:v>
                      </c:pt>
                      <c:pt idx="12">
                        <c:v>2670.44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8E44-4DC0-A4B9-ED1257B9E330}"/>
                  </c:ext>
                </c:extLst>
              </c15:ser>
            </c15:filteredBarSeries>
          </c:ext>
        </c:extLst>
      </c:barChart>
      <c:catAx>
        <c:axId val="78998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812064"/>
        <c:crosses val="autoZero"/>
        <c:auto val="1"/>
        <c:lblAlgn val="ctr"/>
        <c:lblOffset val="100"/>
        <c:noMultiLvlLbl val="0"/>
      </c:catAx>
      <c:valAx>
        <c:axId val="55881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  <a:alpha val="1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984271"/>
        <c:crosses val="autoZero"/>
        <c:crossBetween val="between"/>
      </c:valAx>
      <c:spPr>
        <a:solidFill>
          <a:schemeClr val="tx1">
            <a:lumMod val="65000"/>
            <a:lumOff val="3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044828408953437"/>
          <c:y val="0.92616125032141783"/>
          <c:w val="0.2099802189636879"/>
          <c:h val="6.26933442622663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Monetization Savings in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'Monthly Data 2025'!$F$2</c:f>
              <c:strCache>
                <c:ptCount val="1"/>
                <c:pt idx="0">
                  <c:v>Asset Savings - Billing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2025'!$A$3:$A$15</c15:sqref>
                  </c15:fullRef>
                </c:ext>
              </c:extLst>
              <c:f>'Monthly Data 2025'!$A$3:$A$14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2025'!$F$3:$F$15</c15:sqref>
                  </c15:fullRef>
                </c:ext>
              </c:extLst>
              <c:f>'Monthly Data 2025'!$F$3:$F$14</c:f>
              <c:numCache>
                <c:formatCode>General</c:formatCode>
                <c:ptCount val="12"/>
                <c:pt idx="0">
                  <c:v>143</c:v>
                </c:pt>
                <c:pt idx="1">
                  <c:v>112</c:v>
                </c:pt>
                <c:pt idx="2">
                  <c:v>148</c:v>
                </c:pt>
                <c:pt idx="3">
                  <c:v>684.42</c:v>
                </c:pt>
                <c:pt idx="4">
                  <c:v>254.9</c:v>
                </c:pt>
                <c:pt idx="5">
                  <c:v>131.19999999999999</c:v>
                </c:pt>
                <c:pt idx="6">
                  <c:v>502.2</c:v>
                </c:pt>
                <c:pt idx="7">
                  <c:v>26.3</c:v>
                </c:pt>
                <c:pt idx="8">
                  <c:v>379.5</c:v>
                </c:pt>
                <c:pt idx="9">
                  <c:v>212</c:v>
                </c:pt>
                <c:pt idx="10">
                  <c:v>289</c:v>
                </c:pt>
                <c:pt idx="11">
                  <c:v>1901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77-483E-A42B-4BFD714439B0}"/>
            </c:ext>
          </c:extLst>
        </c:ser>
        <c:ser>
          <c:idx val="5"/>
          <c:order val="5"/>
          <c:tx>
            <c:strRef>
              <c:f>'Monthly Data 2025'!$G$2</c:f>
              <c:strCache>
                <c:ptCount val="1"/>
                <c:pt idx="0">
                  <c:v>Automation Savings - Billing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2025'!$A$3:$A$15</c15:sqref>
                  </c15:fullRef>
                </c:ext>
              </c:extLst>
              <c:f>'Monthly Data 2025'!$A$3:$A$14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2025'!$G$3:$G$15</c15:sqref>
                  </c15:fullRef>
                </c:ext>
              </c:extLst>
              <c:f>'Monthly Data 2025'!$G$3:$G$14</c:f>
              <c:numCache>
                <c:formatCode>General</c:formatCode>
                <c:ptCount val="12"/>
                <c:pt idx="0">
                  <c:v>48.1</c:v>
                </c:pt>
                <c:pt idx="1">
                  <c:v>24.5</c:v>
                </c:pt>
                <c:pt idx="2">
                  <c:v>0.8</c:v>
                </c:pt>
                <c:pt idx="3">
                  <c:v>0.45</c:v>
                </c:pt>
                <c:pt idx="4">
                  <c:v>19.649999999999999</c:v>
                </c:pt>
                <c:pt idx="5">
                  <c:v>5.45</c:v>
                </c:pt>
                <c:pt idx="6">
                  <c:v>22.1</c:v>
                </c:pt>
                <c:pt idx="7">
                  <c:v>326.49</c:v>
                </c:pt>
                <c:pt idx="8">
                  <c:v>14.4</c:v>
                </c:pt>
                <c:pt idx="9">
                  <c:v>0.5</c:v>
                </c:pt>
                <c:pt idx="10">
                  <c:v>1064</c:v>
                </c:pt>
                <c:pt idx="11">
                  <c:v>1144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77-483E-A42B-4BFD714439B0}"/>
            </c:ext>
          </c:extLst>
        </c:ser>
        <c:ser>
          <c:idx val="6"/>
          <c:order val="6"/>
          <c:tx>
            <c:strRef>
              <c:f>'Monthly Data 2025'!$H$2</c:f>
              <c:strCache>
                <c:ptCount val="1"/>
                <c:pt idx="0">
                  <c:v>Total Savings - Billing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2025'!$A$3:$A$15</c15:sqref>
                  </c15:fullRef>
                </c:ext>
              </c:extLst>
              <c:f>'Monthly Data 2025'!$A$3:$A$14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2025'!$H$3:$H$15</c15:sqref>
                  </c15:fullRef>
                </c:ext>
              </c:extLst>
              <c:f>'Monthly Data 2025'!$H$3:$H$14</c:f>
              <c:numCache>
                <c:formatCode>General</c:formatCode>
                <c:ptCount val="12"/>
                <c:pt idx="0">
                  <c:v>191.1</c:v>
                </c:pt>
                <c:pt idx="1">
                  <c:v>136.5</c:v>
                </c:pt>
                <c:pt idx="2">
                  <c:v>148.80000000000001</c:v>
                </c:pt>
                <c:pt idx="3">
                  <c:v>684.87</c:v>
                </c:pt>
                <c:pt idx="4">
                  <c:v>274.55</c:v>
                </c:pt>
                <c:pt idx="5">
                  <c:v>136.64999999999998</c:v>
                </c:pt>
                <c:pt idx="6">
                  <c:v>524.29999999999995</c:v>
                </c:pt>
                <c:pt idx="7">
                  <c:v>352.79</c:v>
                </c:pt>
                <c:pt idx="8">
                  <c:v>393.9</c:v>
                </c:pt>
                <c:pt idx="9">
                  <c:v>212.5</c:v>
                </c:pt>
                <c:pt idx="10">
                  <c:v>1353</c:v>
                </c:pt>
                <c:pt idx="11">
                  <c:v>3045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7577-483E-A42B-4BFD714439B0}"/>
            </c:ext>
          </c:extLst>
        </c:ser>
        <c:ser>
          <c:idx val="12"/>
          <c:order val="12"/>
          <c:tx>
            <c:strRef>
              <c:f>'Monthly Data 2025'!$N$2</c:f>
              <c:strCache>
                <c:ptCount val="1"/>
                <c:pt idx="0">
                  <c:v>Asset Savings - Charging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2025'!$A$3:$A$15</c15:sqref>
                  </c15:fullRef>
                </c:ext>
              </c:extLst>
              <c:f>'Monthly Data 2025'!$A$3:$A$14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2025'!$N$3:$N$15</c15:sqref>
                  </c15:fullRef>
                </c:ext>
              </c:extLst>
              <c:f>'Monthly Data 2025'!$N$3:$N$14</c:f>
              <c:numCache>
                <c:formatCode>General</c:formatCode>
                <c:ptCount val="12"/>
                <c:pt idx="0">
                  <c:v>1551.24</c:v>
                </c:pt>
                <c:pt idx="1">
                  <c:v>2465</c:v>
                </c:pt>
                <c:pt idx="2">
                  <c:v>969.48</c:v>
                </c:pt>
                <c:pt idx="3">
                  <c:v>2183.5500000000002</c:v>
                </c:pt>
                <c:pt idx="4">
                  <c:v>1785.6</c:v>
                </c:pt>
                <c:pt idx="5">
                  <c:v>1613.72</c:v>
                </c:pt>
                <c:pt idx="6">
                  <c:v>1797.23</c:v>
                </c:pt>
                <c:pt idx="7">
                  <c:v>1535.1</c:v>
                </c:pt>
                <c:pt idx="8">
                  <c:v>1564.68</c:v>
                </c:pt>
                <c:pt idx="9">
                  <c:v>784.4</c:v>
                </c:pt>
                <c:pt idx="10">
                  <c:v>1375</c:v>
                </c:pt>
                <c:pt idx="11">
                  <c:v>2602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77-483E-A42B-4BFD714439B0}"/>
            </c:ext>
          </c:extLst>
        </c:ser>
        <c:ser>
          <c:idx val="13"/>
          <c:order val="13"/>
          <c:tx>
            <c:strRef>
              <c:f>'Monthly Data 2025'!$O$2</c:f>
              <c:strCache>
                <c:ptCount val="1"/>
                <c:pt idx="0">
                  <c:v>Automation Savings - Charging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2025'!$A$3:$A$15</c15:sqref>
                  </c15:fullRef>
                </c:ext>
              </c:extLst>
              <c:f>'Monthly Data 2025'!$A$3:$A$14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2025'!$O$3:$O$15</c15:sqref>
                  </c15:fullRef>
                </c:ext>
              </c:extLst>
              <c:f>'Monthly Data 2025'!$O$3:$O$14</c:f>
              <c:numCache>
                <c:formatCode>General</c:formatCode>
                <c:ptCount val="12"/>
                <c:pt idx="0">
                  <c:v>2684</c:v>
                </c:pt>
                <c:pt idx="1">
                  <c:v>3455</c:v>
                </c:pt>
                <c:pt idx="2">
                  <c:v>2723.24</c:v>
                </c:pt>
                <c:pt idx="3">
                  <c:v>4112</c:v>
                </c:pt>
                <c:pt idx="4">
                  <c:v>4764.8</c:v>
                </c:pt>
                <c:pt idx="5">
                  <c:v>3734.9</c:v>
                </c:pt>
                <c:pt idx="6">
                  <c:v>3669.84</c:v>
                </c:pt>
                <c:pt idx="7">
                  <c:v>2105.0700000000002</c:v>
                </c:pt>
                <c:pt idx="8">
                  <c:v>699.29</c:v>
                </c:pt>
                <c:pt idx="9">
                  <c:v>1058.77</c:v>
                </c:pt>
                <c:pt idx="10">
                  <c:v>704</c:v>
                </c:pt>
                <c:pt idx="11">
                  <c:v>1882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77-483E-A42B-4BFD714439B0}"/>
            </c:ext>
          </c:extLst>
        </c:ser>
        <c:ser>
          <c:idx val="14"/>
          <c:order val="14"/>
          <c:tx>
            <c:strRef>
              <c:f>'Monthly Data 2025'!$P$2</c:f>
              <c:strCache>
                <c:ptCount val="1"/>
                <c:pt idx="0">
                  <c:v>Total Savings - Charging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2025'!$A$3:$A$15</c15:sqref>
                  </c15:fullRef>
                </c:ext>
              </c:extLst>
              <c:f>'Monthly Data 2025'!$A$3:$A$14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2025'!$P$3:$P$15</c15:sqref>
                  </c15:fullRef>
                </c:ext>
              </c:extLst>
              <c:f>'Monthly Data 2025'!$P$3:$P$14</c:f>
              <c:numCache>
                <c:formatCode>General</c:formatCode>
                <c:ptCount val="12"/>
                <c:pt idx="0">
                  <c:v>4235.24</c:v>
                </c:pt>
                <c:pt idx="1">
                  <c:v>5920</c:v>
                </c:pt>
                <c:pt idx="2">
                  <c:v>3692.72</c:v>
                </c:pt>
                <c:pt idx="3">
                  <c:v>6295.55</c:v>
                </c:pt>
                <c:pt idx="4">
                  <c:v>6550.4</c:v>
                </c:pt>
                <c:pt idx="5">
                  <c:v>5348.62</c:v>
                </c:pt>
                <c:pt idx="6">
                  <c:v>5467.07</c:v>
                </c:pt>
                <c:pt idx="7">
                  <c:v>3640.17</c:v>
                </c:pt>
                <c:pt idx="8">
                  <c:v>2263.9700000000003</c:v>
                </c:pt>
                <c:pt idx="9">
                  <c:v>1843.17</c:v>
                </c:pt>
                <c:pt idx="10">
                  <c:v>2080</c:v>
                </c:pt>
                <c:pt idx="11">
                  <c:v>4486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7577-483E-A42B-4BFD71443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343055"/>
        <c:axId val="211036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'Monthly Data 2025'!$B$2</c15:sqref>
                        </c15:formulaRef>
                      </c:ext>
                    </c:extLst>
                    <c:strCache>
                      <c:ptCount val="1"/>
                      <c:pt idx="0">
                        <c:v>Monetization KPI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'Monthly Data 2025'!$B$3:$B$15</c15:sqref>
                        </c15:fullRef>
                        <c15:formulaRef>
                          <c15:sqref>'Monthly Data 2025'!$B$3:$B$14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0.16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0.16</c:v>
                      </c:pt>
                      <c:pt idx="4">
                        <c:v>0.16</c:v>
                      </c:pt>
                      <c:pt idx="5">
                        <c:v>0.16</c:v>
                      </c:pt>
                      <c:pt idx="6">
                        <c:v>0.16</c:v>
                      </c:pt>
                      <c:pt idx="7">
                        <c:v>0.16</c:v>
                      </c:pt>
                      <c:pt idx="8">
                        <c:v>0.16</c:v>
                      </c:pt>
                      <c:pt idx="9">
                        <c:v>0.16</c:v>
                      </c:pt>
                      <c:pt idx="10">
                        <c:v>0.16</c:v>
                      </c:pt>
                      <c:pt idx="11">
                        <c:v>0.16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7577-483E-A42B-4BFD714439B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2025'!$C$2</c15:sqref>
                        </c15:formulaRef>
                      </c:ext>
                    </c:extLst>
                    <c:strCache>
                      <c:ptCount val="1"/>
                      <c:pt idx="0">
                        <c:v>Total Number of Assets Download - Billing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2025'!$C$3:$C$15</c15:sqref>
                        </c15:fullRef>
                        <c15:formulaRef>
                          <c15:sqref>'Monthly Data 2025'!$C$3:$C$14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20</c:v>
                      </c:pt>
                      <c:pt idx="1">
                        <c:v>20</c:v>
                      </c:pt>
                      <c:pt idx="2">
                        <c:v>9</c:v>
                      </c:pt>
                      <c:pt idx="3">
                        <c:v>20</c:v>
                      </c:pt>
                      <c:pt idx="4">
                        <c:v>29</c:v>
                      </c:pt>
                      <c:pt idx="5">
                        <c:v>22</c:v>
                      </c:pt>
                      <c:pt idx="6">
                        <c:v>34</c:v>
                      </c:pt>
                      <c:pt idx="7">
                        <c:v>17</c:v>
                      </c:pt>
                      <c:pt idx="8">
                        <c:v>8</c:v>
                      </c:pt>
                      <c:pt idx="9">
                        <c:v>39</c:v>
                      </c:pt>
                      <c:pt idx="10">
                        <c:v>27</c:v>
                      </c:pt>
                      <c:pt idx="11">
                        <c:v>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577-483E-A42B-4BFD714439B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2025'!$D$2</c15:sqref>
                        </c15:formulaRef>
                      </c:ext>
                    </c:extLst>
                    <c:strCache>
                      <c:ptCount val="1"/>
                      <c:pt idx="0">
                        <c:v>Total Number of Assets Reused with Savings - Billing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2025'!$D$3:$D$15</c15:sqref>
                        </c15:fullRef>
                        <c15:formulaRef>
                          <c15:sqref>'Monthly Data 2025'!$D$3:$D$14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</c:v>
                      </c:pt>
                      <c:pt idx="1">
                        <c:v>5</c:v>
                      </c:pt>
                      <c:pt idx="2">
                        <c:v>4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7</c:v>
                      </c:pt>
                      <c:pt idx="6">
                        <c:v>6</c:v>
                      </c:pt>
                      <c:pt idx="7">
                        <c:v>10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19</c:v>
                      </c:pt>
                      <c:pt idx="11">
                        <c:v>22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577-483E-A42B-4BFD714439B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2025'!$E$2</c15:sqref>
                        </c15:formulaRef>
                      </c:ext>
                    </c:extLst>
                    <c:strCache>
                      <c:ptCount val="1"/>
                      <c:pt idx="0">
                        <c:v>Pending Feedback - Billing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2025'!$E$3:$E$15</c15:sqref>
                        </c15:fullRef>
                        <c15:formulaRef>
                          <c15:sqref>'Monthly Data 2025'!$E$3:$E$14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6</c:v>
                      </c:pt>
                      <c:pt idx="4">
                        <c:v>3</c:v>
                      </c:pt>
                      <c:pt idx="5">
                        <c:v>13</c:v>
                      </c:pt>
                      <c:pt idx="6">
                        <c:v>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46</c:v>
                      </c:pt>
                      <c:pt idx="10">
                        <c:v>49</c:v>
                      </c:pt>
                      <c:pt idx="11">
                        <c:v>52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577-483E-A42B-4BFD714439B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2025'!$I$2</c15:sqref>
                        </c15:formulaRef>
                      </c:ext>
                    </c:extLst>
                    <c:strCache>
                      <c:ptCount val="1"/>
                      <c:pt idx="0">
                        <c:v>Billability Hours - Billing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2025'!$I$3:$I$15</c15:sqref>
                        </c15:fullRef>
                        <c15:formulaRef>
                          <c15:sqref>'Monthly Data 2025'!$I$3:$I$14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6651.85</c:v>
                      </c:pt>
                      <c:pt idx="1">
                        <c:v>6033</c:v>
                      </c:pt>
                      <c:pt idx="2">
                        <c:v>6090</c:v>
                      </c:pt>
                      <c:pt idx="3">
                        <c:v>6217</c:v>
                      </c:pt>
                      <c:pt idx="4">
                        <c:v>6908</c:v>
                      </c:pt>
                      <c:pt idx="5">
                        <c:v>7306</c:v>
                      </c:pt>
                      <c:pt idx="6">
                        <c:v>10082</c:v>
                      </c:pt>
                      <c:pt idx="7">
                        <c:v>8841</c:v>
                      </c:pt>
                      <c:pt idx="8">
                        <c:v>9505</c:v>
                      </c:pt>
                      <c:pt idx="9">
                        <c:v>8976</c:v>
                      </c:pt>
                      <c:pt idx="10">
                        <c:v>6541</c:v>
                      </c:pt>
                      <c:pt idx="11">
                        <c:v>8606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577-483E-A42B-4BFD714439B0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2025'!$J$2</c15:sqref>
                        </c15:formulaRef>
                      </c:ext>
                    </c:extLst>
                    <c:strCache>
                      <c:ptCount val="1"/>
                      <c:pt idx="0">
                        <c:v>Billing Savings 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2025'!$J$3:$J$15</c15:sqref>
                        </c15:fullRef>
                        <c15:formulaRef>
                          <c15:sqref>'Monthly Data 2025'!$J$3:$J$14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2.8728849868833482E-2</c:v>
                      </c:pt>
                      <c:pt idx="1">
                        <c:v>2.2625559423172553E-2</c:v>
                      </c:pt>
                      <c:pt idx="2">
                        <c:v>2.4433497536945816E-2</c:v>
                      </c:pt>
                      <c:pt idx="3">
                        <c:v>0.11016084928422068</c:v>
                      </c:pt>
                      <c:pt idx="4">
                        <c:v>3.9743775332947311E-2</c:v>
                      </c:pt>
                      <c:pt idx="5">
                        <c:v>1.8703805091705446E-2</c:v>
                      </c:pt>
                      <c:pt idx="6">
                        <c:v>5.2003570720095212E-2</c:v>
                      </c:pt>
                      <c:pt idx="7">
                        <c:v>3.9903857029747768E-2</c:v>
                      </c:pt>
                      <c:pt idx="8">
                        <c:v>4.1441346659652809E-2</c:v>
                      </c:pt>
                      <c:pt idx="9">
                        <c:v>2.3674242424242424E-2</c:v>
                      </c:pt>
                      <c:pt idx="10">
                        <c:v>0.20684910564133924</c:v>
                      </c:pt>
                      <c:pt idx="11">
                        <c:v>0.35382291424587498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7577-483E-A42B-4BFD714439B0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2025'!$K$2</c15:sqref>
                        </c15:formulaRef>
                      </c:ext>
                    </c:extLst>
                    <c:strCache>
                      <c:ptCount val="1"/>
                      <c:pt idx="0">
                        <c:v>Total Number of Assets Download - Charging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2025'!$K$3:$K$15</c15:sqref>
                        </c15:fullRef>
                        <c15:formulaRef>
                          <c15:sqref>'Monthly Data 2025'!$K$3:$K$14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285</c:v>
                      </c:pt>
                      <c:pt idx="1">
                        <c:v>213</c:v>
                      </c:pt>
                      <c:pt idx="2">
                        <c:v>223</c:v>
                      </c:pt>
                      <c:pt idx="3">
                        <c:v>258</c:v>
                      </c:pt>
                      <c:pt idx="4">
                        <c:v>355</c:v>
                      </c:pt>
                      <c:pt idx="5">
                        <c:v>277</c:v>
                      </c:pt>
                      <c:pt idx="6">
                        <c:v>309</c:v>
                      </c:pt>
                      <c:pt idx="7">
                        <c:v>229</c:v>
                      </c:pt>
                      <c:pt idx="8">
                        <c:v>153</c:v>
                      </c:pt>
                      <c:pt idx="9">
                        <c:v>99</c:v>
                      </c:pt>
                      <c:pt idx="10">
                        <c:v>96</c:v>
                      </c:pt>
                      <c:pt idx="11">
                        <c:v>193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7577-483E-A42B-4BFD714439B0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2025'!$L$2</c15:sqref>
                        </c15:formulaRef>
                      </c:ext>
                    </c:extLst>
                    <c:strCache>
                      <c:ptCount val="1"/>
                      <c:pt idx="0">
                        <c:v>Total Number of Assets Reused with Savings - Charging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2025'!$L$3:$L$15</c15:sqref>
                        </c15:fullRef>
                        <c15:formulaRef>
                          <c15:sqref>'Monthly Data 2025'!$L$3:$L$14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141</c:v>
                      </c:pt>
                      <c:pt idx="1">
                        <c:v>239</c:v>
                      </c:pt>
                      <c:pt idx="2">
                        <c:v>139</c:v>
                      </c:pt>
                      <c:pt idx="3">
                        <c:v>233</c:v>
                      </c:pt>
                      <c:pt idx="4">
                        <c:v>221</c:v>
                      </c:pt>
                      <c:pt idx="5">
                        <c:v>134</c:v>
                      </c:pt>
                      <c:pt idx="6">
                        <c:v>210</c:v>
                      </c:pt>
                      <c:pt idx="7">
                        <c:v>148</c:v>
                      </c:pt>
                      <c:pt idx="8">
                        <c:v>95</c:v>
                      </c:pt>
                      <c:pt idx="9">
                        <c:v>52</c:v>
                      </c:pt>
                      <c:pt idx="10">
                        <c:v>64</c:v>
                      </c:pt>
                      <c:pt idx="11">
                        <c:v>153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7577-483E-A42B-4BFD714439B0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2025'!$M$2</c15:sqref>
                        </c15:formulaRef>
                      </c:ext>
                    </c:extLst>
                    <c:strCache>
                      <c:ptCount val="1"/>
                      <c:pt idx="0">
                        <c:v>Pending Feedback - Charging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2025'!$M$3:$M$15</c15:sqref>
                        </c15:fullRef>
                        <c15:formulaRef>
                          <c15:sqref>'Monthly Data 2025'!$M$3:$M$14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49</c:v>
                      </c:pt>
                      <c:pt idx="1">
                        <c:v>44</c:v>
                      </c:pt>
                      <c:pt idx="2">
                        <c:v>62</c:v>
                      </c:pt>
                      <c:pt idx="3">
                        <c:v>139</c:v>
                      </c:pt>
                      <c:pt idx="4">
                        <c:v>67</c:v>
                      </c:pt>
                      <c:pt idx="5">
                        <c:v>58</c:v>
                      </c:pt>
                      <c:pt idx="6">
                        <c:v>73</c:v>
                      </c:pt>
                      <c:pt idx="7">
                        <c:v>92</c:v>
                      </c:pt>
                      <c:pt idx="8">
                        <c:v>140</c:v>
                      </c:pt>
                      <c:pt idx="9">
                        <c:v>187</c:v>
                      </c:pt>
                      <c:pt idx="10">
                        <c:v>193</c:v>
                      </c:pt>
                      <c:pt idx="11">
                        <c:v>221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7577-483E-A42B-4BFD714439B0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2025'!$Q$2</c15:sqref>
                        </c15:formulaRef>
                      </c:ext>
                    </c:extLst>
                    <c:strCache>
                      <c:ptCount val="1"/>
                      <c:pt idx="0">
                        <c:v>Billability Hours - Charging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2025'!$Q$3:$Q$15</c15:sqref>
                        </c15:fullRef>
                        <c15:formulaRef>
                          <c15:sqref>'Monthly Data 2025'!$Q$3:$Q$14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44613</c:v>
                      </c:pt>
                      <c:pt idx="1">
                        <c:v>41659</c:v>
                      </c:pt>
                      <c:pt idx="2">
                        <c:v>40996</c:v>
                      </c:pt>
                      <c:pt idx="3">
                        <c:v>40248</c:v>
                      </c:pt>
                      <c:pt idx="4">
                        <c:v>43121</c:v>
                      </c:pt>
                      <c:pt idx="5">
                        <c:v>40965</c:v>
                      </c:pt>
                      <c:pt idx="6">
                        <c:v>43825</c:v>
                      </c:pt>
                      <c:pt idx="7">
                        <c:v>39175</c:v>
                      </c:pt>
                      <c:pt idx="8">
                        <c:v>40576</c:v>
                      </c:pt>
                      <c:pt idx="9">
                        <c:v>39390</c:v>
                      </c:pt>
                      <c:pt idx="10">
                        <c:v>41298</c:v>
                      </c:pt>
                      <c:pt idx="11">
                        <c:v>29642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577-483E-A42B-4BFD714439B0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2025'!$R$2</c15:sqref>
                        </c15:formulaRef>
                      </c:ext>
                    </c:extLst>
                    <c:strCache>
                      <c:ptCount val="1"/>
                      <c:pt idx="0">
                        <c:v>Charging Savings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2025'!$R$3:$R$15</c15:sqref>
                        </c15:fullRef>
                        <c15:formulaRef>
                          <c15:sqref>'Monthly Data 2025'!$R$3:$R$14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9.4932867101517493E-2</c:v>
                      </c:pt>
                      <c:pt idx="1">
                        <c:v>0.14210614753114573</c:v>
                      </c:pt>
                      <c:pt idx="2">
                        <c:v>9.0075129280905455E-2</c:v>
                      </c:pt>
                      <c:pt idx="3">
                        <c:v>0.15641895249453389</c:v>
                      </c:pt>
                      <c:pt idx="4">
                        <c:v>0.15190742329723336</c:v>
                      </c:pt>
                      <c:pt idx="5">
                        <c:v>0.13056560478457219</c:v>
                      </c:pt>
                      <c:pt idx="6">
                        <c:v>0.12474774671990872</c:v>
                      </c:pt>
                      <c:pt idx="7">
                        <c:v>9.2920740268028088E-2</c:v>
                      </c:pt>
                      <c:pt idx="8">
                        <c:v>5.5795790615141963E-2</c:v>
                      </c:pt>
                      <c:pt idx="9">
                        <c:v>4.6792840822543792E-2</c:v>
                      </c:pt>
                      <c:pt idx="10">
                        <c:v>5.036563513971621E-2</c:v>
                      </c:pt>
                      <c:pt idx="11">
                        <c:v>0.15133931583563862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7577-483E-A42B-4BFD714439B0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2025'!$S$2</c15:sqref>
                        </c15:formulaRef>
                      </c:ext>
                    </c:extLst>
                    <c:strCache>
                      <c:ptCount val="1"/>
                      <c:pt idx="0">
                        <c:v>Total Savings - Monetization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80000"/>
                          <a:lumOff val="2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lumMod val="80000"/>
                          <a:lumOff val="2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80000"/>
                          <a:lumOff val="2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2025'!$S$3:$S$15</c15:sqref>
                        </c15:fullRef>
                        <c15:formulaRef>
                          <c15:sqref>'Monthly Data 2025'!$S$3:$S$14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4426.34</c:v>
                      </c:pt>
                      <c:pt idx="1">
                        <c:v>6056.5</c:v>
                      </c:pt>
                      <c:pt idx="2">
                        <c:v>3841.52</c:v>
                      </c:pt>
                      <c:pt idx="3">
                        <c:v>6980.42</c:v>
                      </c:pt>
                      <c:pt idx="4">
                        <c:v>6824.95</c:v>
                      </c:pt>
                      <c:pt idx="5">
                        <c:v>5485.2699999999995</c:v>
                      </c:pt>
                      <c:pt idx="6">
                        <c:v>5991.37</c:v>
                      </c:pt>
                      <c:pt idx="7">
                        <c:v>3992.96</c:v>
                      </c:pt>
                      <c:pt idx="8">
                        <c:v>2657.8700000000003</c:v>
                      </c:pt>
                      <c:pt idx="9">
                        <c:v>2055.67</c:v>
                      </c:pt>
                      <c:pt idx="10">
                        <c:v>3433</c:v>
                      </c:pt>
                      <c:pt idx="11">
                        <c:v>7531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7577-483E-A42B-4BFD714439B0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2025'!$T$2</c15:sqref>
                        </c15:formulaRef>
                      </c:ext>
                    </c:extLst>
                    <c:strCache>
                      <c:ptCount val="1"/>
                      <c:pt idx="0">
                        <c:v>Billability Hours - Monetization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8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8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8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2025'!$T$3:$T$15</c15:sqref>
                        </c15:fullRef>
                        <c15:formulaRef>
                          <c15:sqref>'Monthly Data 2025'!$T$3:$T$14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51264.85</c:v>
                      </c:pt>
                      <c:pt idx="1">
                        <c:v>47692</c:v>
                      </c:pt>
                      <c:pt idx="2">
                        <c:v>47086</c:v>
                      </c:pt>
                      <c:pt idx="3">
                        <c:v>46465</c:v>
                      </c:pt>
                      <c:pt idx="4">
                        <c:v>50029</c:v>
                      </c:pt>
                      <c:pt idx="5">
                        <c:v>48271</c:v>
                      </c:pt>
                      <c:pt idx="6">
                        <c:v>53907</c:v>
                      </c:pt>
                      <c:pt idx="7">
                        <c:v>48016</c:v>
                      </c:pt>
                      <c:pt idx="8">
                        <c:v>50081</c:v>
                      </c:pt>
                      <c:pt idx="9">
                        <c:v>48366</c:v>
                      </c:pt>
                      <c:pt idx="10">
                        <c:v>47839</c:v>
                      </c:pt>
                      <c:pt idx="11">
                        <c:v>38248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7577-483E-A42B-4BFD714439B0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'Monthly Data 2025'!$U$2</c15:sqref>
                        </c15:formulaRef>
                      </c:ext>
                    </c:extLst>
                    <c:strCache>
                      <c:ptCount val="1"/>
                      <c:pt idx="0">
                        <c:v>Monetization Savings %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8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8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8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'Monthly Data 2025'!$A$3:$A$15</c15:sqref>
                        </c15:fullRef>
                        <c15:formulaRef>
                          <c15:sqref>'Monthly Data 2025'!$A$3:$A$14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'Monthly Data 2025'!$U$3:$U$15</c15:sqref>
                        </c15:fullRef>
                        <c15:formulaRef>
                          <c15:sqref>'Monthly Data 2025'!$U$3:$U$14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8.6342591463741736E-2</c:v>
                      </c:pt>
                      <c:pt idx="1">
                        <c:v>0.12699194833515054</c:v>
                      </c:pt>
                      <c:pt idx="2">
                        <c:v>8.1585184555918955E-2</c:v>
                      </c:pt>
                      <c:pt idx="3">
                        <c:v>0.15022963520929733</c:v>
                      </c:pt>
                      <c:pt idx="4">
                        <c:v>0.13641987647164644</c:v>
                      </c:pt>
                      <c:pt idx="5">
                        <c:v>0.11363489465724762</c:v>
                      </c:pt>
                      <c:pt idx="6">
                        <c:v>0.11114270873912478</c:v>
                      </c:pt>
                      <c:pt idx="7">
                        <c:v>8.3158947017660786E-2</c:v>
                      </c:pt>
                      <c:pt idx="8">
                        <c:v>5.307142429264592E-2</c:v>
                      </c:pt>
                      <c:pt idx="9">
                        <c:v>4.2502377703345327E-2</c:v>
                      </c:pt>
                      <c:pt idx="10">
                        <c:v>7.1761533476870337E-2</c:v>
                      </c:pt>
                      <c:pt idx="11">
                        <c:v>0.196899184271073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7577-483E-A42B-4BFD714439B0}"/>
                  </c:ext>
                </c:extLst>
              </c15:ser>
            </c15:filteredBarSeries>
          </c:ext>
        </c:extLst>
      </c:barChart>
      <c:catAx>
        <c:axId val="1434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367"/>
        <c:crosses val="autoZero"/>
        <c:auto val="1"/>
        <c:lblAlgn val="ctr"/>
        <c:lblOffset val="100"/>
        <c:noMultiLvlLbl val="0"/>
      </c:catAx>
      <c:valAx>
        <c:axId val="211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sng" strike="noStrike" kern="1200" spc="0" baseline="0" dirty="0">
                <a:solidFill>
                  <a:prstClr val="black">
                    <a:lumMod val="65000"/>
                    <a:lumOff val="35000"/>
                  </a:prstClr>
                </a:solidFill>
              </a:rPr>
              <a:t>Asset Reuse (SDU) - 2024 vs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344565698698618E-2"/>
          <c:y val="0.15358870967741939"/>
          <c:w val="0.9553682962190525"/>
          <c:h val="0.6523202946405892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(2)'!$C$33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8.1148565291768969E-3"/>
                  <c:y val="8.62068965517241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5F-4679-8CAE-F48FFF4317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(2)'!$B$34:$B$42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'Data (2)'!$C$34:$C$42</c:f>
              <c:numCache>
                <c:formatCode>General</c:formatCode>
                <c:ptCount val="9"/>
                <c:pt idx="0">
                  <c:v>0</c:v>
                </c:pt>
                <c:pt idx="1">
                  <c:v>247</c:v>
                </c:pt>
                <c:pt idx="2">
                  <c:v>0</c:v>
                </c:pt>
                <c:pt idx="3">
                  <c:v>0</c:v>
                </c:pt>
                <c:pt idx="4">
                  <c:v>40</c:v>
                </c:pt>
                <c:pt idx="5">
                  <c:v>890</c:v>
                </c:pt>
                <c:pt idx="6">
                  <c:v>827</c:v>
                </c:pt>
                <c:pt idx="7">
                  <c:v>0</c:v>
                </c:pt>
                <c:pt idx="8">
                  <c:v>11.25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4-4D78-8D3D-02C49AB4CC28}"/>
            </c:ext>
          </c:extLst>
        </c:ser>
        <c:ser>
          <c:idx val="1"/>
          <c:order val="1"/>
          <c:tx>
            <c:strRef>
              <c:f>'Data (2)'!$D$33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420099892605943E-2"/>
                  <c:y val="-8.62068965517249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5F-4679-8CAE-F48FFF4317E7}"/>
                </c:ext>
              </c:extLst>
            </c:dLbl>
            <c:dLbl>
              <c:idx val="1"/>
              <c:layout>
                <c:manualLayout>
                  <c:x val="1.622971305835361E-2"/>
                  <c:y val="-1.72413793103447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5F-4679-8CAE-F48FFF4317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(2)'!$B$34:$B$42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'Data (2)'!$D$34:$D$42</c:f>
              <c:numCache>
                <c:formatCode>General</c:formatCode>
                <c:ptCount val="9"/>
                <c:pt idx="0">
                  <c:v>147.02000000000001</c:v>
                </c:pt>
                <c:pt idx="1">
                  <c:v>202.8</c:v>
                </c:pt>
                <c:pt idx="2">
                  <c:v>52</c:v>
                </c:pt>
                <c:pt idx="3">
                  <c:v>1202.5</c:v>
                </c:pt>
                <c:pt idx="4">
                  <c:v>910.32</c:v>
                </c:pt>
                <c:pt idx="5">
                  <c:v>725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4-4D78-8D3D-02C49AB4C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0664384"/>
        <c:axId val="1890671104"/>
      </c:barChart>
      <c:catAx>
        <c:axId val="189066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671104"/>
        <c:crosses val="autoZero"/>
        <c:auto val="1"/>
        <c:lblAlgn val="ctr"/>
        <c:lblOffset val="100"/>
        <c:noMultiLvlLbl val="0"/>
      </c:catAx>
      <c:valAx>
        <c:axId val="1890671104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90664384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Savings Hours - Billing</a:t>
            </a:r>
          </a:p>
        </c:rich>
      </c:tx>
      <c:layout>
        <c:manualLayout>
          <c:xMode val="edge"/>
          <c:yMode val="edge"/>
          <c:x val="0.32799928219231456"/>
          <c:y val="9.043474545645514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647229113156503E-2"/>
          <c:y val="0.11345038817512298"/>
          <c:w val="0.93870554177368704"/>
          <c:h val="0.781653140026097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(2)'!$C$2</c:f>
              <c:strCache>
                <c:ptCount val="1"/>
                <c:pt idx="0">
                  <c:v>Total Savings - Billing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(2)'!$B$3:$B$11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'Data (2)'!$C$3:$C$11</c:f>
              <c:numCache>
                <c:formatCode>General</c:formatCode>
                <c:ptCount val="9"/>
                <c:pt idx="0">
                  <c:v>191.1</c:v>
                </c:pt>
                <c:pt idx="1">
                  <c:v>136.5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6-402B-AEB1-6BEF99735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275343"/>
        <c:axId val="327275823"/>
      </c:barChart>
      <c:catAx>
        <c:axId val="32727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275823"/>
        <c:crosses val="autoZero"/>
        <c:auto val="1"/>
        <c:lblAlgn val="ctr"/>
        <c:lblOffset val="100"/>
        <c:noMultiLvlLbl val="0"/>
      </c:catAx>
      <c:valAx>
        <c:axId val="3272758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27275343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Monetization Savings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'Monthly Data 2025'!$J$2</c:f>
              <c:strCache>
                <c:ptCount val="1"/>
                <c:pt idx="0">
                  <c:v>Billing Savings %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2025'!$A$3:$A$19</c15:sqref>
                  </c15:fullRef>
                </c:ext>
              </c:extLst>
              <c:f>('Monthly Data 2025'!$A$3:$A$14,'Monthly Data 2025'!$A$16:$A$19)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2025'!$J$3:$J$19</c15:sqref>
                  </c15:fullRef>
                </c:ext>
              </c:extLst>
              <c:f>('Monthly Data 2025'!$J$3:$J$14,'Monthly Data 2025'!$J$16:$J$19)</c:f>
              <c:numCache>
                <c:formatCode>0%</c:formatCode>
                <c:ptCount val="16"/>
                <c:pt idx="0">
                  <c:v>2.8728849868833482E-2</c:v>
                </c:pt>
                <c:pt idx="1">
                  <c:v>2.2625559423172553E-2</c:v>
                </c:pt>
                <c:pt idx="2">
                  <c:v>2.4433497536945816E-2</c:v>
                </c:pt>
                <c:pt idx="3">
                  <c:v>0.11016084928422068</c:v>
                </c:pt>
                <c:pt idx="4">
                  <c:v>3.9743775332947311E-2</c:v>
                </c:pt>
                <c:pt idx="5">
                  <c:v>1.8703805091705446E-2</c:v>
                </c:pt>
                <c:pt idx="6">
                  <c:v>5.2003570720095212E-2</c:v>
                </c:pt>
                <c:pt idx="7">
                  <c:v>3.9903857029747768E-2</c:v>
                </c:pt>
                <c:pt idx="8">
                  <c:v>4.1441346659652809E-2</c:v>
                </c:pt>
                <c:pt idx="9">
                  <c:v>2.3674242424242424E-2</c:v>
                </c:pt>
                <c:pt idx="10">
                  <c:v>0.20684910564133924</c:v>
                </c:pt>
                <c:pt idx="11">
                  <c:v>0.35382291424587498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0-40FF-A926-D43D020E97B8}"/>
            </c:ext>
          </c:extLst>
        </c:ser>
        <c:ser>
          <c:idx val="2"/>
          <c:order val="2"/>
          <c:tx>
            <c:strRef>
              <c:f>'Monthly Data 2025'!$R$2</c:f>
              <c:strCache>
                <c:ptCount val="1"/>
                <c:pt idx="0">
                  <c:v>Charging Savings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2025'!$A$3:$A$19</c15:sqref>
                  </c15:fullRef>
                </c:ext>
              </c:extLst>
              <c:f>('Monthly Data 2025'!$A$3:$A$14,'Monthly Data 2025'!$A$16:$A$19)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2025'!$R$3:$R$19</c15:sqref>
                  </c15:fullRef>
                </c:ext>
              </c:extLst>
              <c:f>('Monthly Data 2025'!$R$3:$R$14,'Monthly Data 2025'!$R$16:$R$19)</c:f>
              <c:numCache>
                <c:formatCode>0.00%</c:formatCode>
                <c:ptCount val="16"/>
                <c:pt idx="0">
                  <c:v>9.4932867101517493E-2</c:v>
                </c:pt>
                <c:pt idx="1">
                  <c:v>0.14210614753114573</c:v>
                </c:pt>
                <c:pt idx="2">
                  <c:v>9.0075129280905455E-2</c:v>
                </c:pt>
                <c:pt idx="3">
                  <c:v>0.15641895249453389</c:v>
                </c:pt>
                <c:pt idx="4">
                  <c:v>0.15190742329723336</c:v>
                </c:pt>
                <c:pt idx="5">
                  <c:v>0.13056560478457219</c:v>
                </c:pt>
                <c:pt idx="6">
                  <c:v>0.12474774671990872</c:v>
                </c:pt>
                <c:pt idx="7">
                  <c:v>9.2920740268028088E-2</c:v>
                </c:pt>
                <c:pt idx="8">
                  <c:v>5.5795790615141963E-2</c:v>
                </c:pt>
                <c:pt idx="9">
                  <c:v>4.6792840822543792E-2</c:v>
                </c:pt>
                <c:pt idx="10">
                  <c:v>5.036563513971621E-2</c:v>
                </c:pt>
                <c:pt idx="11">
                  <c:v>0.15133931583563862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70-40FF-A926-D43D020E97B8}"/>
            </c:ext>
          </c:extLst>
        </c:ser>
        <c:ser>
          <c:idx val="3"/>
          <c:order val="3"/>
          <c:tx>
            <c:strRef>
              <c:f>'Monthly Data 2025'!$U$2</c:f>
              <c:strCache>
                <c:ptCount val="1"/>
                <c:pt idx="0">
                  <c:v>Monetization Savings %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2025'!$A$3:$A$19</c15:sqref>
                  </c15:fullRef>
                </c:ext>
              </c:extLst>
              <c:f>('Monthly Data 2025'!$A$3:$A$14,'Monthly Data 2025'!$A$16:$A$19)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2025'!$U$3:$U$19</c15:sqref>
                  </c15:fullRef>
                </c:ext>
              </c:extLst>
              <c:f>('Monthly Data 2025'!$U$3:$U$14,'Monthly Data 2025'!$U$16:$U$19)</c:f>
              <c:numCache>
                <c:formatCode>0.00%</c:formatCode>
                <c:ptCount val="16"/>
                <c:pt idx="0">
                  <c:v>8.6342591463741736E-2</c:v>
                </c:pt>
                <c:pt idx="1">
                  <c:v>0.12699194833515054</c:v>
                </c:pt>
                <c:pt idx="2">
                  <c:v>8.1585184555918955E-2</c:v>
                </c:pt>
                <c:pt idx="3">
                  <c:v>0.15022963520929733</c:v>
                </c:pt>
                <c:pt idx="4">
                  <c:v>0.13641987647164644</c:v>
                </c:pt>
                <c:pt idx="5">
                  <c:v>0.11363489465724762</c:v>
                </c:pt>
                <c:pt idx="6">
                  <c:v>0.11114270873912478</c:v>
                </c:pt>
                <c:pt idx="7">
                  <c:v>8.3158947017660786E-2</c:v>
                </c:pt>
                <c:pt idx="8">
                  <c:v>5.307142429264592E-2</c:v>
                </c:pt>
                <c:pt idx="9">
                  <c:v>4.2502377703345327E-2</c:v>
                </c:pt>
                <c:pt idx="10">
                  <c:v>7.1761533476870337E-2</c:v>
                </c:pt>
                <c:pt idx="11">
                  <c:v>0.196899184271073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70-40FF-A926-D43D020E9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2919648"/>
        <c:axId val="2102943200"/>
      </c:barChart>
      <c:lineChart>
        <c:grouping val="standard"/>
        <c:varyColors val="0"/>
        <c:ser>
          <c:idx val="0"/>
          <c:order val="0"/>
          <c:tx>
            <c:strRef>
              <c:f>'Monthly Data 2025'!$B$2</c:f>
              <c:strCache>
                <c:ptCount val="1"/>
                <c:pt idx="0">
                  <c:v>Monetization KPI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'Monthly Data 2025'!$A$3:$A$19</c15:sqref>
                  </c15:fullRef>
                </c:ext>
              </c:extLst>
              <c:f>('Monthly Data 2025'!$A$3:$A$14,'Monthly Data 2025'!$A$16:$A$19)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'Monthly Data 2025'!$B$3:$B$19</c15:sqref>
                  </c15:fullRef>
                </c:ext>
              </c:extLst>
              <c:f>('Monthly Data 2025'!$B$3:$B$14,'Monthly Data 2025'!$B$16:$B$19)</c:f>
              <c:numCache>
                <c:formatCode>0.00%</c:formatCode>
                <c:ptCount val="16"/>
                <c:pt idx="0">
                  <c:v>0.16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4">
                  <c:v>0.16</c:v>
                </c:pt>
                <c:pt idx="5">
                  <c:v>0.16</c:v>
                </c:pt>
                <c:pt idx="6">
                  <c:v>0.16</c:v>
                </c:pt>
                <c:pt idx="7">
                  <c:v>0.16</c:v>
                </c:pt>
                <c:pt idx="8">
                  <c:v>0.16</c:v>
                </c:pt>
                <c:pt idx="9">
                  <c:v>0.16</c:v>
                </c:pt>
                <c:pt idx="10">
                  <c:v>0.16</c:v>
                </c:pt>
                <c:pt idx="11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70-40FF-A926-D43D020E9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2919648"/>
        <c:axId val="2102943200"/>
      </c:lineChart>
      <c:catAx>
        <c:axId val="198291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2943200"/>
        <c:crosses val="autoZero"/>
        <c:auto val="1"/>
        <c:lblAlgn val="ctr"/>
        <c:lblOffset val="100"/>
        <c:noMultiLvlLbl val="0"/>
      </c:catAx>
      <c:valAx>
        <c:axId val="210294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91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Saving Hours - Charging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'Data (2)'!$E$1</c:f>
              <c:strCache>
                <c:ptCount val="1"/>
                <c:pt idx="0">
                  <c:v>Charging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(2)'!$B$2:$B$14</c:f>
              <c:strCache>
                <c:ptCount val="13"/>
                <c:pt idx="0">
                  <c:v>Month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April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'Data (2)'!$E$2:$E$14</c:f>
              <c:numCache>
                <c:formatCode>General</c:formatCode>
                <c:ptCount val="13"/>
                <c:pt idx="0">
                  <c:v>0</c:v>
                </c:pt>
                <c:pt idx="1">
                  <c:v>4235.24</c:v>
                </c:pt>
                <c:pt idx="2">
                  <c:v>5920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6F-4805-B808-489017711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17183"/>
        <c:axId val="4082486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(2)'!$C$1</c15:sqref>
                        </c15:formulaRef>
                      </c:ext>
                    </c:extLst>
                    <c:strCache>
                      <c:ptCount val="1"/>
                      <c:pt idx="0">
                        <c:v>Billing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'Data (2)'!$B$2:$B$14</c15:sqref>
                        </c15:formulaRef>
                      </c:ext>
                    </c:extLst>
                    <c:strCache>
                      <c:ptCount val="13"/>
                      <c:pt idx="0">
                        <c:v>Month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April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'Data (2)'!$C$2:$C$14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0</c:v>
                      </c:pt>
                      <c:pt idx="1">
                        <c:v>191.1</c:v>
                      </c:pt>
                      <c:pt idx="2">
                        <c:v>136.5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6F-4805-B808-48901771141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(2)'!$D$1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(2)'!$B$2:$B$14</c15:sqref>
                        </c15:formulaRef>
                      </c:ext>
                    </c:extLst>
                    <c:strCache>
                      <c:ptCount val="13"/>
                      <c:pt idx="0">
                        <c:v>Month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April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(2)'!$D$2:$D$14</c15:sqref>
                        </c15:formulaRef>
                      </c:ext>
                    </c:extLst>
                    <c:numCache>
                      <c:formatCode>0%</c:formatCode>
                      <c:ptCount val="13"/>
                      <c:pt idx="0" formatCode="General">
                        <c:v>0</c:v>
                      </c:pt>
                      <c:pt idx="1">
                        <c:v>2.8728849868833482E-2</c:v>
                      </c:pt>
                      <c:pt idx="2">
                        <c:v>2.2625559423172553E-2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A6F-4805-B808-48901771141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(2)'!$F$1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(2)'!$B$2:$B$14</c15:sqref>
                        </c15:formulaRef>
                      </c:ext>
                    </c:extLst>
                    <c:strCache>
                      <c:ptCount val="13"/>
                      <c:pt idx="0">
                        <c:v>Month</c:v>
                      </c:pt>
                      <c:pt idx="1">
                        <c:v>Jan</c:v>
                      </c:pt>
                      <c:pt idx="2">
                        <c:v>Feb</c:v>
                      </c:pt>
                      <c:pt idx="3">
                        <c:v>Mar</c:v>
                      </c:pt>
                      <c:pt idx="4">
                        <c:v>April</c:v>
                      </c:pt>
                      <c:pt idx="5">
                        <c:v>May</c:v>
                      </c:pt>
                      <c:pt idx="6">
                        <c:v>Jun</c:v>
                      </c:pt>
                      <c:pt idx="7">
                        <c:v>Jul</c:v>
                      </c:pt>
                      <c:pt idx="8">
                        <c:v>Aug</c:v>
                      </c:pt>
                      <c:pt idx="9">
                        <c:v>Sep</c:v>
                      </c:pt>
                      <c:pt idx="10">
                        <c:v>Oct</c:v>
                      </c:pt>
                      <c:pt idx="11">
                        <c:v>Nov</c:v>
                      </c:pt>
                      <c:pt idx="12">
                        <c:v>Dec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'Data (2)'!$F$2:$F$14</c15:sqref>
                        </c15:formulaRef>
                      </c:ext>
                    </c:extLst>
                    <c:numCache>
                      <c:formatCode>0.00%</c:formatCode>
                      <c:ptCount val="13"/>
                      <c:pt idx="0" formatCode="General">
                        <c:v>0</c:v>
                      </c:pt>
                      <c:pt idx="1">
                        <c:v>9.4932867101517493E-2</c:v>
                      </c:pt>
                      <c:pt idx="2">
                        <c:v>0.14210614753114573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A6F-4805-B808-489017711418}"/>
                  </c:ext>
                </c:extLst>
              </c15:ser>
            </c15:filteredBarSeries>
          </c:ext>
        </c:extLst>
      </c:barChart>
      <c:catAx>
        <c:axId val="4081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24863"/>
        <c:crosses val="autoZero"/>
        <c:auto val="1"/>
        <c:lblAlgn val="ctr"/>
        <c:lblOffset val="100"/>
        <c:noMultiLvlLbl val="0"/>
      </c:catAx>
      <c:valAx>
        <c:axId val="4082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1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Saving Hours- Billing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(2)'!$C$2</c:f>
              <c:strCache>
                <c:ptCount val="1"/>
                <c:pt idx="0">
                  <c:v>Total Savings - Billing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'Data (2)'!$B$3:$B$14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April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'Data (2)'!$C$3:$C$14</c:f>
              <c:numCache>
                <c:formatCode>General</c:formatCode>
                <c:ptCount val="12"/>
                <c:pt idx="0">
                  <c:v>191.1</c:v>
                </c:pt>
                <c:pt idx="1">
                  <c:v>136.5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F-45B7-8B2C-034E7261F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013375"/>
        <c:axId val="225014815"/>
      </c:barChart>
      <c:catAx>
        <c:axId val="22501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014815"/>
        <c:crosses val="autoZero"/>
        <c:auto val="1"/>
        <c:lblAlgn val="ctr"/>
        <c:lblOffset val="100"/>
        <c:noMultiLvlLbl val="0"/>
      </c:catAx>
      <c:valAx>
        <c:axId val="22501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01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All Assets (2023 vs 2024)</a:t>
            </a:r>
          </a:p>
        </c:rich>
      </c:tx>
      <c:layout>
        <c:manualLayout>
          <c:xMode val="edge"/>
          <c:yMode val="edge"/>
          <c:x val="0.29859865598608648"/>
          <c:y val="6.154669261643228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446588454344E-2"/>
          <c:y val="0.11477250396120288"/>
          <c:w val="0.93888888888888888"/>
          <c:h val="0.68254308538195885"/>
        </c:manualLayout>
      </c:layout>
      <c:barChart>
        <c:barDir val="col"/>
        <c:grouping val="clustered"/>
        <c:varyColors val="0"/>
        <c:ser>
          <c:idx val="0"/>
          <c:order val="0"/>
          <c:tx>
            <c:v>2023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'EB Downloads'!$A$9:$A$17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'EB Downloads'!$B$9:$B$17</c:f>
              <c:numCache>
                <c:formatCode>General</c:formatCode>
                <c:ptCount val="9"/>
                <c:pt idx="0">
                  <c:v>19</c:v>
                </c:pt>
                <c:pt idx="1">
                  <c:v>34</c:v>
                </c:pt>
                <c:pt idx="2">
                  <c:v>24</c:v>
                </c:pt>
                <c:pt idx="3">
                  <c:v>19</c:v>
                </c:pt>
                <c:pt idx="4">
                  <c:v>24</c:v>
                </c:pt>
                <c:pt idx="5">
                  <c:v>32</c:v>
                </c:pt>
                <c:pt idx="6">
                  <c:v>17</c:v>
                </c:pt>
                <c:pt idx="7">
                  <c:v>9</c:v>
                </c:pt>
                <c:pt idx="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C-4361-A95F-012CCB07CC7E}"/>
            </c:ext>
          </c:extLst>
        </c:ser>
        <c:ser>
          <c:idx val="1"/>
          <c:order val="1"/>
          <c:tx>
            <c:v>2024</c:v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'EB Downloads'!$A$9:$A$17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'EB Downloads'!$D$9:$D$17</c:f>
              <c:numCache>
                <c:formatCode>General</c:formatCode>
                <c:ptCount val="9"/>
                <c:pt idx="0">
                  <c:v>42</c:v>
                </c:pt>
                <c:pt idx="1">
                  <c:v>25</c:v>
                </c:pt>
                <c:pt idx="2">
                  <c:v>16</c:v>
                </c:pt>
                <c:pt idx="3">
                  <c:v>17</c:v>
                </c:pt>
                <c:pt idx="4">
                  <c:v>27</c:v>
                </c:pt>
                <c:pt idx="5">
                  <c:v>22</c:v>
                </c:pt>
                <c:pt idx="6">
                  <c:v>17</c:v>
                </c:pt>
                <c:pt idx="7">
                  <c:v>23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5C-4361-A95F-012CCB07C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329471"/>
        <c:axId val="129326111"/>
      </c:barChart>
      <c:catAx>
        <c:axId val="12932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26111"/>
        <c:crosses val="autoZero"/>
        <c:auto val="1"/>
        <c:lblAlgn val="ctr"/>
        <c:lblOffset val="100"/>
        <c:noMultiLvlLbl val="0"/>
      </c:catAx>
      <c:valAx>
        <c:axId val="1293261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9329471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8444776727140123"/>
          <c:y val="0.90373323630671853"/>
          <c:w val="0.22476754767975915"/>
          <c:h val="9.6266735194674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SDU Assets (2023 vs 2024)</a:t>
            </a:r>
          </a:p>
        </c:rich>
      </c:tx>
      <c:layout>
        <c:manualLayout>
          <c:xMode val="edge"/>
          <c:yMode val="edge"/>
          <c:x val="0.28619444444444442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555555555555555E-2"/>
          <c:y val="0.13004629629629633"/>
          <c:w val="0.93888888888888888"/>
          <c:h val="0.67129320003821669"/>
        </c:manualLayout>
      </c:layout>
      <c:barChart>
        <c:barDir val="col"/>
        <c:grouping val="clustered"/>
        <c:varyColors val="0"/>
        <c:ser>
          <c:idx val="0"/>
          <c:order val="0"/>
          <c:tx>
            <c:v>2023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'EB Downloads'!$A$9:$A$17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'EB Downloads'!$C$9:$C$17</c:f>
              <c:numCache>
                <c:formatCode>General</c:formatCode>
                <c:ptCount val="9"/>
                <c:pt idx="0">
                  <c:v>17</c:v>
                </c:pt>
                <c:pt idx="1">
                  <c:v>23</c:v>
                </c:pt>
                <c:pt idx="2">
                  <c:v>21</c:v>
                </c:pt>
                <c:pt idx="3">
                  <c:v>11</c:v>
                </c:pt>
                <c:pt idx="4">
                  <c:v>13</c:v>
                </c:pt>
                <c:pt idx="5">
                  <c:v>26</c:v>
                </c:pt>
                <c:pt idx="6">
                  <c:v>5</c:v>
                </c:pt>
                <c:pt idx="7">
                  <c:v>5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4C-4CFE-8F28-65169A3FF1C1}"/>
            </c:ext>
          </c:extLst>
        </c:ser>
        <c:ser>
          <c:idx val="1"/>
          <c:order val="1"/>
          <c:tx>
            <c:v>2024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'EB Downloads'!$A$9:$A$17</c:f>
              <c:strCache>
                <c:ptCount val="9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</c:strCache>
            </c:strRef>
          </c:cat>
          <c:val>
            <c:numRef>
              <c:f>'EB Downloads'!$E$9:$E$17</c:f>
              <c:numCache>
                <c:formatCode>General</c:formatCode>
                <c:ptCount val="9"/>
                <c:pt idx="0">
                  <c:v>27</c:v>
                </c:pt>
                <c:pt idx="1">
                  <c:v>8</c:v>
                </c:pt>
                <c:pt idx="2">
                  <c:v>12</c:v>
                </c:pt>
                <c:pt idx="3">
                  <c:v>11</c:v>
                </c:pt>
                <c:pt idx="4">
                  <c:v>19</c:v>
                </c:pt>
                <c:pt idx="5">
                  <c:v>20</c:v>
                </c:pt>
                <c:pt idx="6">
                  <c:v>10</c:v>
                </c:pt>
                <c:pt idx="7">
                  <c:v>20</c:v>
                </c:pt>
                <c:pt idx="8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4C-4CFE-8F28-65169A3FF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9937551"/>
        <c:axId val="249942351"/>
      </c:barChart>
      <c:catAx>
        <c:axId val="24993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942351"/>
        <c:crosses val="autoZero"/>
        <c:auto val="1"/>
        <c:lblAlgn val="ctr"/>
        <c:lblOffset val="100"/>
        <c:noMultiLvlLbl val="0"/>
      </c:catAx>
      <c:valAx>
        <c:axId val="2499423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9937551"/>
        <c:crosses val="autoZero"/>
        <c:crossBetween val="between"/>
      </c:valAx>
      <c:spPr>
        <a:solidFill>
          <a:schemeClr val="bg2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624496937882765"/>
          <c:y val="0.89603981109435982"/>
          <c:w val="0.18751002022965438"/>
          <c:h val="9.64206997175053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42334</xdr:colOff>
      <xdr:row>0</xdr:row>
      <xdr:rowOff>155927</xdr:rowOff>
    </xdr:from>
    <xdr:to>
      <xdr:col>12</xdr:col>
      <xdr:colOff>366889</xdr:colOff>
      <xdr:row>15</xdr:row>
      <xdr:rowOff>147460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95E54E-2E08-77F0-33B2-30A69EC0A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FAF2AA-7BED-40D7-9CDC-1471A91FC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495663</xdr:colOff>
      <xdr:row>0</xdr:row>
      <xdr:rowOff>0</xdr:rowOff>
    </xdr:from>
    <xdr:to>
      <xdr:col>16</xdr:col>
      <xdr:colOff>473271</xdr:colOff>
      <xdr:row>14</xdr:row>
      <xdr:rowOff>146299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BE15A0-757F-48C6-9585-4552605A8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21165</xdr:rowOff>
    </xdr:from>
    <xdr:to>
      <xdr:col>12</xdr:col>
      <xdr:colOff>592666</xdr:colOff>
      <xdr:row>30</xdr:row>
      <xdr:rowOff>105832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393CFD-1A37-4E43-A8A3-B80689959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332318</xdr:colOff>
      <xdr:row>0</xdr:row>
      <xdr:rowOff>0</xdr:rowOff>
    </xdr:from>
    <xdr:to>
      <xdr:col>27</xdr:col>
      <xdr:colOff>582083</xdr:colOff>
      <xdr:row>30</xdr:row>
      <xdr:rowOff>84668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71D0BA72-2C27-4890-8DA0-F42900806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32</xdr:row>
      <xdr:rowOff>143711</xdr:rowOff>
    </xdr:from>
    <xdr:to>
      <xdr:col>13</xdr:col>
      <xdr:colOff>-1</xdr:colOff>
      <xdr:row>65</xdr:row>
      <xdr:rowOff>59044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AAB997-5708-4A46-821E-9A13B3579A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317500</xdr:colOff>
      <xdr:row>32</xdr:row>
      <xdr:rowOff>126999</xdr:rowOff>
    </xdr:from>
    <xdr:to>
      <xdr:col>27</xdr:col>
      <xdr:colOff>529166</xdr:colOff>
      <xdr:row>65</xdr:row>
      <xdr:rowOff>21166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80F6F08-B658-48C1-A82C-A18100E26F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349250</xdr:colOff>
      <xdr:row>32</xdr:row>
      <xdr:rowOff>174625</xdr:rowOff>
    </xdr:from>
    <xdr:to>
      <xdr:col>42</xdr:col>
      <xdr:colOff>539750</xdr:colOff>
      <xdr:row>65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D5A47D-5568-4930-AD52-2B8947D450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84406</xdr:colOff>
      <xdr:row>104</xdr:row>
      <xdr:rowOff>154743</xdr:rowOff>
    </xdr:from>
    <xdr:to>
      <xdr:col>10</xdr:col>
      <xdr:colOff>168813</xdr:colOff>
      <xdr:row>123</xdr:row>
      <xdr:rowOff>98472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FAB57BC8-80F4-4683-B711-E423FF5C79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84404</xdr:colOff>
      <xdr:row>75</xdr:row>
      <xdr:rowOff>28136</xdr:rowOff>
    </xdr:from>
    <xdr:to>
      <xdr:col>29</xdr:col>
      <xdr:colOff>112541</xdr:colOff>
      <xdr:row>103</xdr:row>
      <xdr:rowOff>56271</xdr:rowOff>
    </xdr:to>
    <xdr:graphicFrame macro="">
      <xdr:nvGraphicFramePr>
        <xdr:cNvPr id="16" name="Chart 7">
          <a:extLst>
            <a:ext uri="{FF2B5EF4-FFF2-40B4-BE49-F238E27FC236}">
              <a16:creationId xmlns:a16="http://schemas.microsoft.com/office/drawing/2014/main" id="{BC449ABE-B984-4A54-8870-047617A0CB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29</xdr:row>
      <xdr:rowOff>42985</xdr:rowOff>
    </xdr:from>
    <xdr:to>
      <xdr:col>13</xdr:col>
      <xdr:colOff>85971</xdr:colOff>
      <xdr:row>46</xdr:row>
      <xdr:rowOff>128954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B93A0719-0090-E002-F31A-B435B72EA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524333</xdr:colOff>
      <xdr:row>0</xdr:row>
      <xdr:rowOff>92398</xdr:rowOff>
    </xdr:from>
    <xdr:to>
      <xdr:col>25</xdr:col>
      <xdr:colOff>517489</xdr:colOff>
      <xdr:row>15</xdr:row>
      <xdr:rowOff>28889</xdr:rowOff>
    </xdr:to>
    <xdr:graphicFrame macro="">
      <xdr:nvGraphicFramePr>
        <xdr:cNvPr id="33" name="Chart 2">
          <a:extLst>
            <a:ext uri="{FF2B5EF4-FFF2-40B4-BE49-F238E27FC236}">
              <a16:creationId xmlns:a16="http://schemas.microsoft.com/office/drawing/2014/main" id="{F754C56D-116D-D9AB-97D1-42C98FC81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307729</xdr:colOff>
      <xdr:row>47</xdr:row>
      <xdr:rowOff>123092</xdr:rowOff>
    </xdr:from>
    <xdr:to>
      <xdr:col>13</xdr:col>
      <xdr:colOff>228599</xdr:colOff>
      <xdr:row>65</xdr:row>
      <xdr:rowOff>96716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19287FF4-996E-415B-A849-ECF457B860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33503</xdr:colOff>
      <xdr:row>16</xdr:row>
      <xdr:rowOff>174180</xdr:rowOff>
    </xdr:from>
    <xdr:to>
      <xdr:col>16</xdr:col>
      <xdr:colOff>253311</xdr:colOff>
      <xdr:row>28</xdr:row>
      <xdr:rowOff>84852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8F3D1522-6E3C-81AF-DA8B-B389479E0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49133</xdr:colOff>
      <xdr:row>0</xdr:row>
      <xdr:rowOff>70339</xdr:rowOff>
    </xdr:from>
    <xdr:to>
      <xdr:col>16</xdr:col>
      <xdr:colOff>260149</xdr:colOff>
      <xdr:row>16</xdr:row>
      <xdr:rowOff>11164</xdr:rowOff>
    </xdr:to>
    <xdr:graphicFrame macro="">
      <xdr:nvGraphicFramePr>
        <xdr:cNvPr id="2" name="Chart 8">
          <a:extLst>
            <a:ext uri="{FF2B5EF4-FFF2-40B4-BE49-F238E27FC236}">
              <a16:creationId xmlns:a16="http://schemas.microsoft.com/office/drawing/2014/main" id="{54714323-1878-BFA3-9225-EF8CD1A03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601714</xdr:colOff>
      <xdr:row>3</xdr:row>
      <xdr:rowOff>88882</xdr:rowOff>
    </xdr:from>
    <xdr:to>
      <xdr:col>15</xdr:col>
      <xdr:colOff>611945</xdr:colOff>
      <xdr:row>15</xdr:row>
      <xdr:rowOff>77371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020993-7F02-6E66-4923-5115BA7079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3517</xdr:colOff>
      <xdr:row>15</xdr:row>
      <xdr:rowOff>182878</xdr:rowOff>
    </xdr:from>
    <xdr:to>
      <xdr:col>15</xdr:col>
      <xdr:colOff>597877</xdr:colOff>
      <xdr:row>28</xdr:row>
      <xdr:rowOff>28135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D1C872A-2271-D9A7-1FA2-31E2E079B3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A556969-B0FF-4AEC-89DD-C556AB333C4A}" name="Table24" displayName="Table24" ref="A2:U15" totalsRowShown="0" headerRowDxfId="61" headerRowBorderDxfId="60" tableBorderDxfId="59" totalsRowBorderDxfId="58">
  <autoFilter ref="A2:U15" xr:uid="{EA556969-B0FF-4AEC-89DD-C556AB333C4A}"/>
  <tableColumns count="21">
    <tableColumn id="1" xr3:uid="{CA1F57EB-3EA6-49D5-806E-1E24554C5709}" name="Month" dataDxfId="57"/>
    <tableColumn id="2" xr3:uid="{CFF67E99-7DEB-412D-84EE-FCC9B200C372}" name="Monetization KPI" dataDxfId="56"/>
    <tableColumn id="3" xr3:uid="{9BECDFE6-06B6-4E6F-8C19-7537B96B168C}" name="Total Number of Assets Download - Billing" dataDxfId="55"/>
    <tableColumn id="4" xr3:uid="{0AF1BAD6-BB33-45BC-ABD3-3FB7D2A0C303}" name="Total Number of Assets Reused with Savings - Billing" dataDxfId="54"/>
    <tableColumn id="5" xr3:uid="{F3D2C46B-3D7D-48A8-AA56-E97E13F3F817}" name="Pending Feedback - Billing" dataDxfId="53"/>
    <tableColumn id="6" xr3:uid="{B3DABDB1-D6D7-4F8E-AD4F-2389628C3678}" name="Asset Savings - Billing" dataDxfId="52"/>
    <tableColumn id="7" xr3:uid="{2653861D-7E4B-4505-879A-37A5B86695E2}" name="Automation Savings - Billing" dataDxfId="51"/>
    <tableColumn id="8" xr3:uid="{E893BB90-62BA-4B86-894E-A48FA8FA823F}" name="Total Savings - Billing" dataDxfId="50"/>
    <tableColumn id="9" xr3:uid="{2B1D2477-B27F-4F30-B11E-93A9ED61DE82}" name="Billability Hours - Billing" dataDxfId="49"/>
    <tableColumn id="10" xr3:uid="{1D41D8A7-0538-4491-A950-47309363B0C1}" name="Billing Savings %" dataDxfId="48">
      <calculatedColumnFormula>H3/I3</calculatedColumnFormula>
    </tableColumn>
    <tableColumn id="11" xr3:uid="{E6CBE855-369A-47CF-B649-E8F369CEDDB8}" name="Total Number of Assets Download - Charging" dataDxfId="47"/>
    <tableColumn id="12" xr3:uid="{BF81D076-5429-4279-A097-20B400D219CA}" name="Total Number of Assets Reused with Savings - Charging" dataDxfId="46"/>
    <tableColumn id="13" xr3:uid="{66D8A2B7-BD1F-493F-B38D-8DAD84B6C880}" name="Pending Feedback - Charging" dataDxfId="45"/>
    <tableColumn id="14" xr3:uid="{BB04006C-237B-4C45-8FAE-C03C1B37454B}" name="Asset Savings - Charging" dataDxfId="44"/>
    <tableColumn id="15" xr3:uid="{6CBC7F38-8EF6-401D-A9F6-591446C8001C}" name="Automation Savings - Charging" dataDxfId="43"/>
    <tableColumn id="16" xr3:uid="{1C767837-DCBF-4F19-BF6F-0AF80A87772C}" name="Total Savings - Charging" dataDxfId="42"/>
    <tableColumn id="17" xr3:uid="{8FABAFB2-446A-421A-85C2-090CA6DE2668}" name="Billability Hours - Charging" dataDxfId="41"/>
    <tableColumn id="18" xr3:uid="{2498A010-4A13-428F-8DD2-2EBE71A6E0AA}" name="Charging Savings" dataDxfId="40">
      <calculatedColumnFormula>P3/Q3</calculatedColumnFormula>
    </tableColumn>
    <tableColumn id="19" xr3:uid="{F025C232-D361-4859-83EA-F1D6DEBB71E5}" name="Total Savings - Monetization" dataDxfId="39">
      <calculatedColumnFormula>P3+H3</calculatedColumnFormula>
    </tableColumn>
    <tableColumn id="20" xr3:uid="{88066F32-7670-4DC8-8D72-7E81F347B2F6}" name="Billability Hours - Monetization" dataDxfId="38">
      <calculatedColumnFormula>I3+Q3</calculatedColumnFormula>
    </tableColumn>
    <tableColumn id="21" xr3:uid="{C547FB5E-A3F2-4383-A1F2-BCFE7A2C77D2}" name="Monetization Savings %" dataDxfId="37" dataCellStyle="Percent">
      <calculatedColumnFormula>S3/T3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29592B-0F7E-40AC-AF41-8B22411D3030}" name="Table2" displayName="Table2" ref="A2:U15" totalsRowShown="0" headerRowDxfId="36" headerRowBorderDxfId="35" tableBorderDxfId="34" totalsRowBorderDxfId="33">
  <autoFilter ref="A2:U15" xr:uid="{CD29592B-0F7E-40AC-AF41-8B22411D3030}"/>
  <tableColumns count="21">
    <tableColumn id="1" xr3:uid="{E7D0A479-2124-47BA-A969-B9E6787D1465}" name="Month" dataDxfId="32"/>
    <tableColumn id="2" xr3:uid="{3C2EDCB1-5B88-4C4B-8BC6-5476C930737D}" name="Monetization KPI" dataDxfId="31"/>
    <tableColumn id="3" xr3:uid="{93A2F2FD-0F9E-4374-A30E-ACED1CDCBC93}" name="Total Number of Assets Download - Billing" dataDxfId="30"/>
    <tableColumn id="4" xr3:uid="{3D43957F-C1C4-46C9-BD1D-E9EACA8885CD}" name="Total Number of Assets Reused with Savings - Billing" dataDxfId="29"/>
    <tableColumn id="5" xr3:uid="{E130F4ED-DE53-4879-B02B-93A9A7695C8C}" name="Pending Feedback - Billing" dataDxfId="28"/>
    <tableColumn id="6" xr3:uid="{8C6DED1F-1600-403B-8596-AC5BEAA9A01E}" name="Asset Savings - Billing" dataDxfId="27"/>
    <tableColumn id="7" xr3:uid="{BF4803CC-22DE-4817-ABE3-87CA4167BABC}" name="Automation Savings - Billing" dataDxfId="26"/>
    <tableColumn id="8" xr3:uid="{19095C43-C09F-4C5F-965C-129203EFF35C}" name="Total Savings - Billing" dataDxfId="25"/>
    <tableColumn id="9" xr3:uid="{73BF4A76-0B2E-40B4-89BF-05FAEF51BB6D}" name="Billability Hours - Billing" dataDxfId="24"/>
    <tableColumn id="10" xr3:uid="{23B818BA-4D54-48B0-BD3E-77441B8AD2C3}" name="Billing Savings %" dataDxfId="23">
      <calculatedColumnFormula>H3/I3</calculatedColumnFormula>
    </tableColumn>
    <tableColumn id="11" xr3:uid="{38E9F8A8-7486-492A-B5F1-699D9F29008F}" name="Total Number of Assets Download - Charging" dataDxfId="22"/>
    <tableColumn id="12" xr3:uid="{CA245A6C-535C-4566-A809-B859B3957600}" name="Total Number of Assets Reused with Savings - Charging" dataDxfId="21"/>
    <tableColumn id="13" xr3:uid="{CA9E4601-339C-4A16-934B-3CE03F2104B0}" name="Pending Feedback - Charging" dataDxfId="20"/>
    <tableColumn id="14" xr3:uid="{F00AFC6C-85E4-477F-A0B1-02CC9B766284}" name="Asset Savings - Charging" dataDxfId="19"/>
    <tableColumn id="15" xr3:uid="{2FFF2870-E3CE-443C-B682-95D5E2558898}" name="Automation Savings - Charging" dataDxfId="18"/>
    <tableColumn id="16" xr3:uid="{6FEB96ED-213F-40D7-8C2E-5D420621825B}" name="Total Savings - Charging" dataDxfId="17"/>
    <tableColumn id="17" xr3:uid="{899A3D54-BF37-4C21-856C-C4D899544B15}" name="Billability Hours - Charging" dataDxfId="16"/>
    <tableColumn id="18" xr3:uid="{73951E3D-6DC8-4E80-8878-1A18E3D3CF0A}" name="Charging Savings" dataDxfId="15">
      <calculatedColumnFormula>P3/Q3</calculatedColumnFormula>
    </tableColumn>
    <tableColumn id="19" xr3:uid="{F53D1081-9CD9-47B4-AB05-9D26DB360050}" name="Total Savings - Monetization" dataDxfId="14">
      <calculatedColumnFormula>P3+H3</calculatedColumnFormula>
    </tableColumn>
    <tableColumn id="20" xr3:uid="{C657A02B-1BA1-43EC-B853-236B1EC7263A}" name="Billability Hours - Monetization" dataDxfId="13">
      <calculatedColumnFormula>I3+Q3</calculatedColumnFormula>
    </tableColumn>
    <tableColumn id="21" xr3:uid="{BDAD368F-8669-4DC5-93B0-1F740E6A9BCE}" name="Monetization Savings %" dataDxfId="12" dataCellStyle="Percent">
      <calculatedColumnFormula>S3/T3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30CCA4-1876-44DD-AE04-3C328E2069AE}" name="Table25" displayName="Table25" ref="A2:AK15" totalsRowShown="0" headerRowDxfId="102" headerRowBorderDxfId="101" tableBorderDxfId="100" totalsRowBorderDxfId="99">
  <autoFilter ref="A2:AK15" xr:uid="{7530CCA4-1876-44DD-AE04-3C328E2069AE}"/>
  <tableColumns count="37">
    <tableColumn id="1" xr3:uid="{349E69B7-264C-48DC-A58F-38C1B69CB243}" name="Month" dataDxfId="98"/>
    <tableColumn id="2" xr3:uid="{91C328DC-8033-4ACB-933E-B34B4C91D3E5}" name="Monetization KPI" dataDxfId="97"/>
    <tableColumn id="3" xr3:uid="{C5C92AF1-329D-4970-AC93-5C83E2AB0894}" name="Total Number of Assets Download - Billing" dataDxfId="96"/>
    <tableColumn id="4" xr3:uid="{9504D701-1912-4D3A-8177-9FFC0DAA224D}" name="Total Number of Assets Reused with Savings - Billing" dataDxfId="95"/>
    <tableColumn id="5" xr3:uid="{059069BA-5048-4EA4-A28E-3CF2B1E66BBA}" name="Pending Feedback - Billing" dataDxfId="94"/>
    <tableColumn id="6" xr3:uid="{45297520-0F12-4946-BA6A-A21B17CC13B0}" name="Asset Savings - Billing" dataDxfId="93"/>
    <tableColumn id="7" xr3:uid="{08FF064E-F086-488A-80E3-1C49086A0FAC}" name="Automation Savings - Billing" dataDxfId="92"/>
    <tableColumn id="8" xr3:uid="{EA845DFD-7F73-491E-95BE-C68FEC55C4EB}" name="Total Savings - Billing" dataDxfId="91"/>
    <tableColumn id="9" xr3:uid="{61F27F85-0123-46C8-93FA-690795794C8D}" name="Billability Hours - Billing" dataDxfId="90"/>
    <tableColumn id="10" xr3:uid="{B3E4EE7F-A194-4F39-8250-1FBF8FD40AE2}" name="Billing Savings %" dataDxfId="89">
      <calculatedColumnFormula>H3/I3</calculatedColumnFormula>
    </tableColumn>
    <tableColumn id="46" xr3:uid="{9AAD8390-6A66-431F-AAEC-3E2BD7F37053}" name="Total Number of Assets Download - Charging" dataDxfId="88"/>
    <tableColumn id="47" xr3:uid="{4D9F45B2-48D1-4F94-BC2D-5D9410C9582D}" name="Total Number of Assets Reused with Savings - Charging" dataDxfId="87"/>
    <tableColumn id="48" xr3:uid="{4435CC8E-E863-478A-9A78-993E9E57E335}" name="Pending Feedback - Charging" dataDxfId="86"/>
    <tableColumn id="49" xr3:uid="{6603F50F-0739-459D-B012-3F0D045A1775}" name="Asset Savings - Charging" dataDxfId="85"/>
    <tableColumn id="50" xr3:uid="{1FCBBD81-CEC3-433D-A002-2FBAC0226E0F}" name="Automation Savings - Charging" dataDxfId="84"/>
    <tableColumn id="51" xr3:uid="{C007BE85-0056-47EC-A91E-01920309F148}" name="Total Savings - Charging" dataDxfId="83">
      <calculatedColumnFormula>Table25[[#This Row],[Asset Savings - Charging]]+Table25[[#This Row],[Automation Savings - Charging]]</calculatedColumnFormula>
    </tableColumn>
    <tableColumn id="52" xr3:uid="{331250B4-0216-4C1D-80CA-18BAE89FC0B1}" name="Billability Hours - Charging" dataDxfId="82"/>
    <tableColumn id="53" xr3:uid="{DC79F5D9-58BA-45FD-8182-D9BE7C694242}" name="Charging Savings %" dataDxfId="81">
      <calculatedColumnFormula>Table25[[#This Row],[Total Savings - Charging]]/Table25[[#This Row],[Billability Hours - Charging]]</calculatedColumnFormula>
    </tableColumn>
    <tableColumn id="38" xr3:uid="{233DD26A-D1AC-47AD-BB8F-0D34B899A8D7}" name="Total Number of Assets Download - SDC CS&amp;DFE" dataDxfId="80"/>
    <tableColumn id="39" xr3:uid="{CEECCEEB-E9C1-427B-91B3-3278165E4510}" name="Total Number of Assets Reused with Savings - SDC CS&amp;DFE" dataDxfId="79"/>
    <tableColumn id="40" xr3:uid="{C5947F6D-0E27-4474-B588-0F9EF4EDF07C}" name="Pending Feedback - SDC CS&amp;DFE" dataDxfId="78"/>
    <tableColumn id="41" xr3:uid="{00EAEA57-09E8-4862-A7A8-FF9EC4504613}" name="Asset Savings - SDC CS&amp;DFE" dataDxfId="77"/>
    <tableColumn id="42" xr3:uid="{B8E05F29-92D7-4D58-91C4-EB237655DCAD}" name="Automation Savings - SDC CS&amp;DFE" dataDxfId="76"/>
    <tableColumn id="43" xr3:uid="{B08CCC99-A624-49F8-9898-AE4410F1B91A}" name="Total Savings - SDC CS&amp;DFE" dataDxfId="75">
      <calculatedColumnFormula>Table25[[#This Row],[Asset Savings - SDC CS&amp;DFE]]+Table25[[#This Row],[Automation Savings - SDC CS&amp;DFE]]</calculatedColumnFormula>
    </tableColumn>
    <tableColumn id="44" xr3:uid="{ACC5FE16-EF2C-46F8-B473-42EBE7B4D4A4}" name="Billability Hours - SDC CS&amp;DFE" dataDxfId="74"/>
    <tableColumn id="45" xr3:uid="{8BDC3B09-20CF-4986-83C3-886EB3A9D23F}" name="SDC CS&amp;DFE Savings %" dataDxfId="73">
      <calculatedColumnFormula>Table25[[#This Row],[Total Savings - SDC CS&amp;DFE]]/Table25[[#This Row],[Billability Hours - SDC CS&amp;DFE]]</calculatedColumnFormula>
    </tableColumn>
    <tableColumn id="11" xr3:uid="{09546D09-60E9-4D76-88D3-73E831C772D8}" name="Total Number of Assets Download - SDC Billing&amp;MW" dataDxfId="72"/>
    <tableColumn id="12" xr3:uid="{5E0A14C2-FF72-468F-BE07-248432B4CD9E}" name="Total Number of Assets Reused with Savings - SDC Billing&amp;MW" dataDxfId="71"/>
    <tableColumn id="13" xr3:uid="{A707E297-078D-47A0-B945-1A6AA2F3328E}" name="Pending Feedback - SDC Billing&amp;MW" dataDxfId="70"/>
    <tableColumn id="14" xr3:uid="{16C23A12-37AC-4DB3-8AD4-B61DDA7A2096}" name="Asset Savings - SDC Billing&amp;MW" dataDxfId="69"/>
    <tableColumn id="15" xr3:uid="{142C05AD-4025-4CC4-8F29-5BBAEB5831AA}" name="Automation Savings - SDC Billing&amp;MW" dataDxfId="68"/>
    <tableColumn id="16" xr3:uid="{54CFBB8C-8B02-45D4-9F38-A7FE1682535F}" name="Total Savings - SDC Billing&amp;MW" dataDxfId="67"/>
    <tableColumn id="17" xr3:uid="{A0E504DA-BD21-48E2-9588-47D41B02ED35}" name="Billability Hours - SDC Billing&amp;MW" dataDxfId="66"/>
    <tableColumn id="18" xr3:uid="{4D32C8CF-AF36-4527-B3BE-3D7F9B4E8CA2}" name="SDC Billing&amp;MW Savings %" dataDxfId="65">
      <calculatedColumnFormula>AF3/AG3</calculatedColumnFormula>
    </tableColumn>
    <tableColumn id="19" xr3:uid="{381BAA75-8CDC-4768-8B23-1E4138A1E1E1}" name="Total Savings - Monetization" dataDxfId="64">
      <calculatedColumnFormula>AF3+H3</calculatedColumnFormula>
    </tableColumn>
    <tableColumn id="20" xr3:uid="{CBB7EE0C-4854-4ACB-8EFF-D391253B8035}" name="Billability Hours - Monetization" dataDxfId="63">
      <calculatedColumnFormula>I3+AG3</calculatedColumnFormula>
    </tableColumn>
    <tableColumn id="21" xr3:uid="{CC04732A-4EE7-4A95-8B9D-75E48BC51F80}" name="Monetization Savings %" dataDxfId="62" dataCellStyle="Percent">
      <calculatedColumnFormula>AI3/AJ3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57FF86-472A-4E49-87B8-8616E2DFF26E}" name="Table22" displayName="Table22" ref="B2:H15" totalsRowShown="0" headerRowDxfId="11" headerRowBorderDxfId="10" tableBorderDxfId="9" totalsRowBorderDxfId="8">
  <tableColumns count="7">
    <tableColumn id="1" xr3:uid="{6CCFBF9F-CF3C-423F-A7A5-19CEDFEB5A01}" name="Month" dataDxfId="7"/>
    <tableColumn id="8" xr3:uid="{81318019-062D-424C-A6B4-BE62BCE4CD77}" name="Total Savings - Billing" dataDxfId="6"/>
    <tableColumn id="10" xr3:uid="{F00937BE-946E-4F8C-9A77-0F7BB059F635}" name="Billing Savings %" dataDxfId="5"/>
    <tableColumn id="16" xr3:uid="{E93FAD15-1DE7-4ADB-B1EC-897BAC92474F}" name="Total Savings - Charging" dataDxfId="4"/>
    <tableColumn id="18" xr3:uid="{5C07F29B-2B62-40FE-8B44-B83B8EC55F57}" name="Charging Savings %" dataDxfId="3"/>
    <tableColumn id="19" xr3:uid="{B2CC7781-81DE-44E8-A2E1-9D0E055D2216}" name="Total Savings - Monetization" dataDxfId="2"/>
    <tableColumn id="21" xr3:uid="{EBB4FD74-ADAF-45AF-AC3B-EFB167FB3F2D}" name="Monetization Savings %" dataDxfId="1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871DA-3DAF-44C6-B907-04DDEDEEC54C}">
  <sheetPr codeName="Sheet1"/>
  <dimension ref="A1:U15"/>
  <sheetViews>
    <sheetView topLeftCell="A2" workbookViewId="0">
      <selection activeCell="A7" sqref="A7"/>
    </sheetView>
  </sheetViews>
  <sheetFormatPr defaultRowHeight="14.5" x14ac:dyDescent="0.35"/>
  <sheetData>
    <row r="1" spans="1:21" x14ac:dyDescent="0.35">
      <c r="A1" s="4"/>
      <c r="B1" s="5"/>
      <c r="C1" s="98" t="s">
        <v>0</v>
      </c>
      <c r="D1" s="99"/>
      <c r="E1" s="99"/>
      <c r="F1" s="99"/>
      <c r="G1" s="99"/>
      <c r="H1" s="99"/>
      <c r="I1" s="99"/>
      <c r="J1" s="100"/>
      <c r="K1" s="110" t="s">
        <v>1</v>
      </c>
      <c r="L1" s="111"/>
      <c r="M1" s="111"/>
      <c r="N1" s="111"/>
      <c r="O1" s="111"/>
      <c r="P1" s="111"/>
      <c r="Q1" s="111"/>
      <c r="R1" s="112"/>
      <c r="S1" s="113" t="s">
        <v>2</v>
      </c>
      <c r="T1" s="114"/>
      <c r="U1" s="114"/>
    </row>
    <row r="2" spans="1:21" ht="101.5" x14ac:dyDescent="0.35">
      <c r="A2" s="6" t="s">
        <v>3</v>
      </c>
      <c r="B2" s="7" t="s">
        <v>4</v>
      </c>
      <c r="C2" s="33" t="s">
        <v>5</v>
      </c>
      <c r="D2" s="33" t="s">
        <v>6</v>
      </c>
      <c r="E2" s="33" t="s">
        <v>7</v>
      </c>
      <c r="F2" s="33" t="s">
        <v>8</v>
      </c>
      <c r="G2" s="33" t="s">
        <v>9</v>
      </c>
      <c r="H2" s="33" t="s">
        <v>10</v>
      </c>
      <c r="I2" s="33" t="s">
        <v>11</v>
      </c>
      <c r="J2" s="33" t="s">
        <v>12</v>
      </c>
      <c r="K2" s="32" t="s">
        <v>13</v>
      </c>
      <c r="L2" s="32" t="s">
        <v>14</v>
      </c>
      <c r="M2" s="32" t="s">
        <v>15</v>
      </c>
      <c r="N2" s="32" t="s">
        <v>16</v>
      </c>
      <c r="O2" s="32" t="s">
        <v>17</v>
      </c>
      <c r="P2" s="32" t="s">
        <v>18</v>
      </c>
      <c r="Q2" s="32" t="s">
        <v>19</v>
      </c>
      <c r="R2" s="32" t="s">
        <v>20</v>
      </c>
      <c r="S2" s="7" t="s">
        <v>21</v>
      </c>
      <c r="T2" s="7" t="s">
        <v>22</v>
      </c>
      <c r="U2" s="8" t="s">
        <v>23</v>
      </c>
    </row>
    <row r="3" spans="1:21" x14ac:dyDescent="0.35">
      <c r="A3" s="9" t="s">
        <v>24</v>
      </c>
      <c r="B3" s="10">
        <v>0.156</v>
      </c>
      <c r="C3" s="11">
        <v>44</v>
      </c>
      <c r="D3" s="11">
        <v>14</v>
      </c>
      <c r="E3" s="11">
        <v>28</v>
      </c>
      <c r="F3" s="11">
        <v>147.02000000000001</v>
      </c>
      <c r="G3" s="11">
        <v>0</v>
      </c>
      <c r="H3" s="11">
        <f>Table24[[#This Row],[Asset Savings - Billing]]+Table24[[#This Row],[Automation Savings - Billing]]</f>
        <v>147.02000000000001</v>
      </c>
      <c r="I3" s="11">
        <v>10667</v>
      </c>
      <c r="J3" s="12">
        <f>H3/I3</f>
        <v>1.3782694290803414E-2</v>
      </c>
      <c r="K3" s="11">
        <v>378</v>
      </c>
      <c r="L3" s="11">
        <v>123</v>
      </c>
      <c r="M3" s="11">
        <v>193</v>
      </c>
      <c r="N3" s="11">
        <v>2758.05</v>
      </c>
      <c r="O3" s="11">
        <v>2201</v>
      </c>
      <c r="P3" s="11">
        <f>SUM(Table24[[#This Row],[Asset Savings - Charging]]+Table24[[#This Row],[Automation Savings - Charging]])</f>
        <v>4959.05</v>
      </c>
      <c r="Q3" s="11">
        <v>54796</v>
      </c>
      <c r="R3" s="13">
        <f>P3/Q3</f>
        <v>9.0500218994087167E-2</v>
      </c>
      <c r="S3" s="14">
        <f>P3+H3</f>
        <v>5106.0700000000006</v>
      </c>
      <c r="T3" s="14">
        <f t="shared" ref="T3:T15" si="0">I3+Q3</f>
        <v>65463</v>
      </c>
      <c r="U3" s="15">
        <f>S3/T3</f>
        <v>7.7999327864595278E-2</v>
      </c>
    </row>
    <row r="4" spans="1:21" x14ac:dyDescent="0.35">
      <c r="A4" s="9" t="s">
        <v>25</v>
      </c>
      <c r="B4" s="10">
        <v>0.156</v>
      </c>
      <c r="C4" s="11">
        <v>25</v>
      </c>
      <c r="D4" s="11">
        <v>5</v>
      </c>
      <c r="E4" s="11">
        <v>14</v>
      </c>
      <c r="F4" s="11">
        <v>202</v>
      </c>
      <c r="G4" s="11">
        <v>0.8</v>
      </c>
      <c r="H4" s="11">
        <f>Table24[[#This Row],[Asset Savings - Billing]]+Table24[[#This Row],[Automation Savings - Billing]]</f>
        <v>202.8</v>
      </c>
      <c r="I4" s="11">
        <v>8705</v>
      </c>
      <c r="J4" s="12">
        <f t="shared" ref="J4:J15" si="1">H4/I4</f>
        <v>2.3296955772544516E-2</v>
      </c>
      <c r="K4" s="11">
        <v>473</v>
      </c>
      <c r="L4" s="11">
        <v>290</v>
      </c>
      <c r="M4" s="11">
        <v>47</v>
      </c>
      <c r="N4" s="11">
        <v>4514.5</v>
      </c>
      <c r="O4" s="11">
        <v>4231.8599999999997</v>
      </c>
      <c r="P4" s="11">
        <v>9004</v>
      </c>
      <c r="Q4" s="11">
        <v>51348</v>
      </c>
      <c r="R4" s="13">
        <f t="shared" ref="R4:R15" si="2">P4/Q4</f>
        <v>0.17535249668925762</v>
      </c>
      <c r="S4" s="14">
        <f t="shared" ref="S4:S14" si="3">P4+H4</f>
        <v>9206.7999999999993</v>
      </c>
      <c r="T4" s="14">
        <f t="shared" si="0"/>
        <v>60053</v>
      </c>
      <c r="U4" s="15">
        <f t="shared" ref="U4:U15" si="4">S4/T4</f>
        <v>0.1533112417364661</v>
      </c>
    </row>
    <row r="5" spans="1:21" x14ac:dyDescent="0.35">
      <c r="A5" s="9" t="s">
        <v>26</v>
      </c>
      <c r="B5" s="10">
        <v>0.156</v>
      </c>
      <c r="C5" s="11">
        <v>16</v>
      </c>
      <c r="D5" s="11">
        <v>3</v>
      </c>
      <c r="E5" s="11">
        <v>5</v>
      </c>
      <c r="F5" s="11">
        <f>70-18</f>
        <v>52</v>
      </c>
      <c r="G5" s="11">
        <v>0</v>
      </c>
      <c r="H5" s="11">
        <f>Table24[[#This Row],[Asset Savings - Billing]]+Table24[[#This Row],[Automation Savings - Billing]]</f>
        <v>52</v>
      </c>
      <c r="I5" s="11">
        <v>8515.25</v>
      </c>
      <c r="J5" s="12">
        <f t="shared" si="1"/>
        <v>6.1066909368485949E-3</v>
      </c>
      <c r="K5" s="11">
        <v>401</v>
      </c>
      <c r="L5" s="11">
        <v>216</v>
      </c>
      <c r="M5" s="11">
        <v>106</v>
      </c>
      <c r="N5" s="11">
        <v>3416.43</v>
      </c>
      <c r="O5" s="11">
        <v>5168</v>
      </c>
      <c r="P5" s="11">
        <f>SUM(Table24[[#This Row],[Asset Savings - Charging]]+Table24[[#This Row],[Automation Savings - Charging]])</f>
        <v>8584.43</v>
      </c>
      <c r="Q5" s="11">
        <v>50460.78</v>
      </c>
      <c r="R5" s="13">
        <f t="shared" si="2"/>
        <v>0.17012083443815179</v>
      </c>
      <c r="S5" s="14">
        <f t="shared" si="3"/>
        <v>8636.43</v>
      </c>
      <c r="T5" s="14">
        <f t="shared" si="0"/>
        <v>58976.03</v>
      </c>
      <c r="U5" s="15">
        <f t="shared" si="4"/>
        <v>0.14643966370744183</v>
      </c>
    </row>
    <row r="6" spans="1:21" x14ac:dyDescent="0.35">
      <c r="A6" s="9" t="s">
        <v>27</v>
      </c>
      <c r="B6" s="10">
        <v>0.156</v>
      </c>
      <c r="C6" s="11">
        <v>19</v>
      </c>
      <c r="D6" s="11">
        <v>6</v>
      </c>
      <c r="E6" s="11">
        <v>5</v>
      </c>
      <c r="F6" s="11">
        <v>452</v>
      </c>
      <c r="G6" s="11">
        <v>750.5</v>
      </c>
      <c r="H6" s="11">
        <f>Table24[[#This Row],[Asset Savings - Billing]]+Table24[[#This Row],[Automation Savings - Billing]]</f>
        <v>1202.5</v>
      </c>
      <c r="I6" s="11">
        <v>9092.0499999999993</v>
      </c>
      <c r="J6" s="12">
        <f t="shared" si="1"/>
        <v>0.1322584015706029</v>
      </c>
      <c r="K6" s="11">
        <v>444</v>
      </c>
      <c r="L6" s="11">
        <v>282</v>
      </c>
      <c r="M6" s="11">
        <v>165</v>
      </c>
      <c r="N6" s="11">
        <v>4221.91</v>
      </c>
      <c r="O6" s="11">
        <v>5639.37</v>
      </c>
      <c r="P6" s="11">
        <f>SUM(Table24[[#This Row],[Asset Savings - Charging]]+Table24[[#This Row],[Automation Savings - Charging]])</f>
        <v>9861.2799999999988</v>
      </c>
      <c r="Q6" s="11">
        <v>52768.98</v>
      </c>
      <c r="R6" s="13">
        <f t="shared" si="2"/>
        <v>0.18687645658491026</v>
      </c>
      <c r="S6" s="14">
        <f t="shared" si="3"/>
        <v>11063.779999999999</v>
      </c>
      <c r="T6" s="14">
        <f t="shared" si="0"/>
        <v>61861.03</v>
      </c>
      <c r="U6" s="15">
        <f t="shared" si="4"/>
        <v>0.1788489457741004</v>
      </c>
    </row>
    <row r="7" spans="1:21" x14ac:dyDescent="0.35">
      <c r="A7" s="9" t="s">
        <v>28</v>
      </c>
      <c r="B7" s="10">
        <v>0.156</v>
      </c>
      <c r="C7" s="11">
        <v>28</v>
      </c>
      <c r="D7" s="11">
        <v>11</v>
      </c>
      <c r="E7" s="11">
        <v>5</v>
      </c>
      <c r="F7" s="11">
        <v>708.32</v>
      </c>
      <c r="G7" s="11">
        <v>202</v>
      </c>
      <c r="H7" s="11">
        <f>Table24[[#This Row],[Asset Savings - Billing]]+Table24[[#This Row],[Automation Savings - Billing]]</f>
        <v>910.32</v>
      </c>
      <c r="I7" s="11">
        <v>9998</v>
      </c>
      <c r="J7" s="12">
        <f t="shared" si="1"/>
        <v>9.1050210042008403E-2</v>
      </c>
      <c r="K7" s="11">
        <v>394</v>
      </c>
      <c r="L7" s="11">
        <v>247</v>
      </c>
      <c r="M7" s="11">
        <v>125</v>
      </c>
      <c r="N7" s="11">
        <v>3647.89</v>
      </c>
      <c r="O7" s="11">
        <v>8652.99</v>
      </c>
      <c r="P7" s="11">
        <f>SUM(Table24[[#This Row],[Asset Savings - Charging]]+Table24[[#This Row],[Automation Savings - Charging]])</f>
        <v>12300.88</v>
      </c>
      <c r="Q7" s="11">
        <v>54648</v>
      </c>
      <c r="R7" s="12">
        <f t="shared" si="2"/>
        <v>0.22509295857121941</v>
      </c>
      <c r="S7" s="14">
        <f t="shared" si="3"/>
        <v>13211.199999999999</v>
      </c>
      <c r="T7" s="14">
        <f t="shared" si="0"/>
        <v>64646</v>
      </c>
      <c r="U7" s="15">
        <f t="shared" si="4"/>
        <v>0.20436221885344799</v>
      </c>
    </row>
    <row r="8" spans="1:21" x14ac:dyDescent="0.35">
      <c r="A8" s="9" t="s">
        <v>29</v>
      </c>
      <c r="B8" s="10">
        <v>0.156</v>
      </c>
      <c r="C8" s="11">
        <v>22</v>
      </c>
      <c r="D8" s="11">
        <v>7</v>
      </c>
      <c r="E8" s="11">
        <v>1</v>
      </c>
      <c r="F8" s="11">
        <v>687</v>
      </c>
      <c r="G8" s="11">
        <v>38</v>
      </c>
      <c r="H8" s="11">
        <f>Table24[[#This Row],[Asset Savings - Billing]]+Table24[[#This Row],[Automation Savings - Billing]]</f>
        <v>725</v>
      </c>
      <c r="I8" s="11">
        <v>9858</v>
      </c>
      <c r="J8" s="12">
        <f t="shared" si="1"/>
        <v>7.3544329478596057E-2</v>
      </c>
      <c r="K8" s="11">
        <v>368</v>
      </c>
      <c r="L8" s="11">
        <v>253</v>
      </c>
      <c r="M8" s="11">
        <v>120</v>
      </c>
      <c r="N8" s="11">
        <v>3633</v>
      </c>
      <c r="O8" s="11">
        <v>3813</v>
      </c>
      <c r="P8" s="11">
        <f>SUM(Table24[[#This Row],[Asset Savings - Charging]]+Table24[[#This Row],[Automation Savings - Charging]])</f>
        <v>7446</v>
      </c>
      <c r="Q8" s="11">
        <v>49661</v>
      </c>
      <c r="R8" s="12">
        <f t="shared" si="2"/>
        <v>0.14993656994422183</v>
      </c>
      <c r="S8" s="14">
        <f t="shared" si="3"/>
        <v>8171</v>
      </c>
      <c r="T8" s="14">
        <f t="shared" si="0"/>
        <v>59519</v>
      </c>
      <c r="U8" s="15">
        <f t="shared" si="4"/>
        <v>0.13728389253851711</v>
      </c>
    </row>
    <row r="9" spans="1:21" x14ac:dyDescent="0.35">
      <c r="A9" s="9" t="s">
        <v>32</v>
      </c>
      <c r="B9" s="10">
        <v>0.156</v>
      </c>
      <c r="C9" s="11">
        <v>17</v>
      </c>
      <c r="D9" s="11">
        <v>8</v>
      </c>
      <c r="E9" s="11">
        <v>4</v>
      </c>
      <c r="F9" s="11">
        <v>327</v>
      </c>
      <c r="G9" s="11">
        <v>665.45</v>
      </c>
      <c r="H9" s="11">
        <f>SUM(Table24[[#This Row],[Asset Savings - Billing]:[Automation Savings - Billing]])</f>
        <v>992.45</v>
      </c>
      <c r="I9" s="11">
        <v>12327.62</v>
      </c>
      <c r="J9" s="12">
        <f t="shared" si="1"/>
        <v>8.0506212878073788E-2</v>
      </c>
      <c r="K9" s="11">
        <v>424</v>
      </c>
      <c r="L9" s="11">
        <v>226</v>
      </c>
      <c r="M9" s="11">
        <v>41</v>
      </c>
      <c r="N9" s="11">
        <v>2915.54</v>
      </c>
      <c r="O9" s="11">
        <v>3942.04</v>
      </c>
      <c r="P9" s="11">
        <f>SUM(Table24[[#This Row],[Asset Savings - Charging]]+Table24[[#This Row],[Automation Savings - Charging]])</f>
        <v>6857.58</v>
      </c>
      <c r="Q9" s="11">
        <v>52333</v>
      </c>
      <c r="R9" s="12">
        <f t="shared" si="2"/>
        <v>0.13103739514264423</v>
      </c>
      <c r="S9" s="14">
        <f t="shared" si="3"/>
        <v>7850.03</v>
      </c>
      <c r="T9" s="14">
        <f t="shared" si="0"/>
        <v>64660.62</v>
      </c>
      <c r="U9" s="15">
        <f t="shared" si="4"/>
        <v>0.12140356835427807</v>
      </c>
    </row>
    <row r="10" spans="1:21" x14ac:dyDescent="0.35">
      <c r="A10" s="84" t="s">
        <v>50</v>
      </c>
      <c r="B10" s="10">
        <v>0.156</v>
      </c>
      <c r="C10" s="11">
        <v>25</v>
      </c>
      <c r="D10" s="11">
        <v>12</v>
      </c>
      <c r="E10" s="11">
        <v>3</v>
      </c>
      <c r="F10" s="11">
        <v>597.5</v>
      </c>
      <c r="G10" s="11">
        <v>14</v>
      </c>
      <c r="H10" s="11">
        <f>SUM(Table24[[#This Row],[Asset Savings - Billing]:[Automation Savings - Billing]])</f>
        <v>611.5</v>
      </c>
      <c r="I10" s="11">
        <v>8960</v>
      </c>
      <c r="J10" s="12">
        <f>H10/I10</f>
        <v>6.8247767857142858E-2</v>
      </c>
      <c r="K10" s="11">
        <v>299</v>
      </c>
      <c r="L10" s="11">
        <v>210</v>
      </c>
      <c r="M10" s="11">
        <v>52</v>
      </c>
      <c r="N10" s="11">
        <v>2622.4</v>
      </c>
      <c r="O10" s="11">
        <v>5126.5</v>
      </c>
      <c r="P10" s="11">
        <f>SUM(Table24[[#This Row],[Asset Savings - Charging]]+Table24[[#This Row],[Automation Savings - Charging]])</f>
        <v>7748.9</v>
      </c>
      <c r="Q10" s="11">
        <v>44748</v>
      </c>
      <c r="R10" s="12">
        <f t="shared" si="2"/>
        <v>0.1731675158666309</v>
      </c>
      <c r="S10" s="14">
        <f t="shared" si="3"/>
        <v>8360.4</v>
      </c>
      <c r="T10" s="14">
        <f t="shared" si="0"/>
        <v>53708</v>
      </c>
      <c r="U10" s="45">
        <f t="shared" si="4"/>
        <v>0.15566396067624935</v>
      </c>
    </row>
    <row r="11" spans="1:21" x14ac:dyDescent="0.35">
      <c r="A11" s="9" t="s">
        <v>53</v>
      </c>
      <c r="B11" s="10">
        <v>0.156</v>
      </c>
      <c r="C11" s="11">
        <v>30</v>
      </c>
      <c r="D11" s="11">
        <v>10</v>
      </c>
      <c r="E11" s="11">
        <v>4</v>
      </c>
      <c r="F11" s="11">
        <v>833.1</v>
      </c>
      <c r="G11" s="11">
        <v>230</v>
      </c>
      <c r="H11" s="11">
        <f>SUM(Table24[[#This Row],[Asset Savings - Billing]:[Automation Savings - Billing]])</f>
        <v>1063.0999999999999</v>
      </c>
      <c r="I11" s="11">
        <v>9265.85</v>
      </c>
      <c r="J11" s="12">
        <f>H11/I11</f>
        <v>0.11473313295596194</v>
      </c>
      <c r="K11" s="11">
        <v>205</v>
      </c>
      <c r="L11" s="11">
        <v>214</v>
      </c>
      <c r="M11" s="11">
        <v>34</v>
      </c>
      <c r="N11" s="11">
        <v>1965.36</v>
      </c>
      <c r="O11" s="11">
        <v>3738.5</v>
      </c>
      <c r="P11" s="11">
        <f>SUM(Table24[[#This Row],[Asset Savings - Charging]]+Table24[[#This Row],[Automation Savings - Charging]])</f>
        <v>5703.86</v>
      </c>
      <c r="Q11" s="11">
        <v>46314.13</v>
      </c>
      <c r="R11" s="12">
        <f>P11/Q11</f>
        <v>0.12315593534845629</v>
      </c>
      <c r="S11" s="14">
        <f t="shared" si="3"/>
        <v>6766.9599999999991</v>
      </c>
      <c r="T11" s="14">
        <f t="shared" si="0"/>
        <v>55579.979999999996</v>
      </c>
      <c r="U11" s="15">
        <f t="shared" si="4"/>
        <v>0.12175175305928501</v>
      </c>
    </row>
    <row r="12" spans="1:21" x14ac:dyDescent="0.35">
      <c r="A12" s="9" t="s">
        <v>54</v>
      </c>
      <c r="B12" s="10">
        <v>0.156</v>
      </c>
      <c r="C12" s="11">
        <v>10</v>
      </c>
      <c r="D12" s="11">
        <v>7</v>
      </c>
      <c r="E12" s="11">
        <v>3</v>
      </c>
      <c r="F12" s="11">
        <v>0.8</v>
      </c>
      <c r="G12" s="11">
        <v>564</v>
      </c>
      <c r="H12" s="11">
        <f>SUM(Table24[[#This Row],[Asset Savings - Billing]:[Automation Savings - Billing]])</f>
        <v>564.79999999999995</v>
      </c>
      <c r="I12" s="11">
        <v>8979</v>
      </c>
      <c r="J12" s="12">
        <f>H12/I12</f>
        <v>6.2902327653413512E-2</v>
      </c>
      <c r="K12" s="11">
        <v>389</v>
      </c>
      <c r="L12" s="11">
        <v>261</v>
      </c>
      <c r="M12" s="11">
        <v>80</v>
      </c>
      <c r="N12" s="11">
        <v>3300.88</v>
      </c>
      <c r="O12" s="11">
        <v>3156</v>
      </c>
      <c r="P12" s="11">
        <f>SUM(Table24[[#This Row],[Asset Savings - Charging]]+Table24[[#This Row],[Automation Savings - Charging]])</f>
        <v>6456.88</v>
      </c>
      <c r="Q12" s="11">
        <v>48080</v>
      </c>
      <c r="R12" s="12">
        <f>P12/Q12</f>
        <v>0.1342945091514143</v>
      </c>
      <c r="S12" s="14">
        <f t="shared" si="3"/>
        <v>7021.68</v>
      </c>
      <c r="T12" s="14">
        <f t="shared" si="0"/>
        <v>57059</v>
      </c>
      <c r="U12" s="15">
        <f t="shared" si="4"/>
        <v>0.12305999053611175</v>
      </c>
    </row>
    <row r="13" spans="1:21" x14ac:dyDescent="0.35">
      <c r="A13" s="9" t="s">
        <v>55</v>
      </c>
      <c r="B13" s="10">
        <v>0.156</v>
      </c>
      <c r="C13" s="11">
        <v>4</v>
      </c>
      <c r="D13" s="11">
        <v>1</v>
      </c>
      <c r="E13" s="11">
        <v>3</v>
      </c>
      <c r="F13" s="11">
        <v>12</v>
      </c>
      <c r="G13" s="11">
        <v>0</v>
      </c>
      <c r="H13" s="11">
        <f>SUM(Table24[[#This Row],[Asset Savings - Billing]:[Automation Savings - Billing]])</f>
        <v>12</v>
      </c>
      <c r="I13" s="11">
        <v>9343.25</v>
      </c>
      <c r="J13" s="12">
        <f>H13/I13</f>
        <v>1.2843496641960774E-3</v>
      </c>
      <c r="K13" s="11">
        <v>346</v>
      </c>
      <c r="L13" s="11">
        <v>215</v>
      </c>
      <c r="M13" s="11">
        <v>73</v>
      </c>
      <c r="N13" s="11">
        <v>2945.39</v>
      </c>
      <c r="O13" s="11">
        <v>4144</v>
      </c>
      <c r="P13" s="11">
        <f>SUM(Table24[[#This Row],[Asset Savings - Charging]]+Table24[[#This Row],[Automation Savings - Charging]])</f>
        <v>7089.3899999999994</v>
      </c>
      <c r="Q13" s="11">
        <v>43363</v>
      </c>
      <c r="R13" s="12">
        <f>P13/Q13</f>
        <v>0.16348938034730068</v>
      </c>
      <c r="S13" s="14">
        <f t="shared" si="3"/>
        <v>7101.3899999999994</v>
      </c>
      <c r="T13" s="14">
        <f t="shared" si="0"/>
        <v>52706.25</v>
      </c>
      <c r="U13" s="15">
        <f t="shared" si="4"/>
        <v>0.13473525435787975</v>
      </c>
    </row>
    <row r="14" spans="1:21" x14ac:dyDescent="0.35">
      <c r="A14" s="9" t="s">
        <v>56</v>
      </c>
      <c r="B14" s="10">
        <v>0.156</v>
      </c>
      <c r="C14" s="11">
        <v>15</v>
      </c>
      <c r="D14" s="11">
        <v>10</v>
      </c>
      <c r="E14" s="11">
        <v>3</v>
      </c>
      <c r="F14" s="11">
        <v>364.55</v>
      </c>
      <c r="G14" s="11">
        <v>6</v>
      </c>
      <c r="H14" s="11">
        <f>SUM(Table24[[#This Row],[Asset Savings - Billing]:[Automation Savings - Billing]])</f>
        <v>370.55</v>
      </c>
      <c r="I14" s="11">
        <v>9590.5</v>
      </c>
      <c r="J14" s="12">
        <f>H14/I14</f>
        <v>3.8637193055627968E-2</v>
      </c>
      <c r="K14" s="11">
        <v>395</v>
      </c>
      <c r="L14" s="11">
        <v>186</v>
      </c>
      <c r="M14" s="11">
        <v>85</v>
      </c>
      <c r="N14" s="11">
        <v>3131.6</v>
      </c>
      <c r="O14" s="11">
        <v>2816</v>
      </c>
      <c r="P14" s="11">
        <v>7590</v>
      </c>
      <c r="Q14" s="11">
        <v>35712</v>
      </c>
      <c r="R14" s="12">
        <f>P14/Q14</f>
        <v>0.21253360215053763</v>
      </c>
      <c r="S14" s="14">
        <f t="shared" si="3"/>
        <v>7960.55</v>
      </c>
      <c r="T14" s="14">
        <f>I14+Q14</f>
        <v>45302.5</v>
      </c>
      <c r="U14" s="15">
        <f>S14/T14</f>
        <v>0.17571988300866398</v>
      </c>
    </row>
    <row r="15" spans="1:21" x14ac:dyDescent="0.35">
      <c r="A15" s="16" t="s">
        <v>30</v>
      </c>
      <c r="B15" s="85">
        <v>0.156</v>
      </c>
      <c r="C15" s="17">
        <f>SUM(C3:C14)</f>
        <v>255</v>
      </c>
      <c r="D15" s="17">
        <f>SUM(D3:D14)</f>
        <v>94</v>
      </c>
      <c r="E15" s="17">
        <f>E14</f>
        <v>3</v>
      </c>
      <c r="F15" s="50">
        <f>SUM(F3:F14)</f>
        <v>4383.29</v>
      </c>
      <c r="G15" s="50">
        <f>SUM(G3:G14)</f>
        <v>2470.75</v>
      </c>
      <c r="H15" s="21">
        <f>SUM(H3:H14)</f>
        <v>6854.0400000000009</v>
      </c>
      <c r="I15" s="21">
        <f>SUM(I3:I14)</f>
        <v>115301.52</v>
      </c>
      <c r="J15" s="22">
        <f t="shared" si="1"/>
        <v>5.9444489543589718E-2</v>
      </c>
      <c r="K15" s="17">
        <f>SUM(K3:K14)</f>
        <v>4516</v>
      </c>
      <c r="L15" s="17">
        <f>SUM(L3:L14)</f>
        <v>2723</v>
      </c>
      <c r="M15" s="17">
        <f>M14</f>
        <v>85</v>
      </c>
      <c r="N15" s="17">
        <f>SUM(N3:N14)</f>
        <v>39072.949999999997</v>
      </c>
      <c r="O15" s="17">
        <f>SUM(O3:O14)</f>
        <v>52629.26</v>
      </c>
      <c r="P15" s="21">
        <f>SUM(P3:P14)</f>
        <v>93602.25</v>
      </c>
      <c r="Q15" s="17">
        <f>SUM(Q3:Q14)</f>
        <v>584232.89</v>
      </c>
      <c r="R15" s="23">
        <f t="shared" si="2"/>
        <v>0.16021393454928565</v>
      </c>
      <c r="S15" s="48">
        <f>P15+H15</f>
        <v>100456.29000000001</v>
      </c>
      <c r="T15" s="18">
        <f t="shared" si="0"/>
        <v>699534.41</v>
      </c>
      <c r="U15" s="49">
        <f t="shared" si="4"/>
        <v>0.14360450117100029</v>
      </c>
    </row>
  </sheetData>
  <mergeCells count="3">
    <mergeCell ref="C1:J1"/>
    <mergeCell ref="K1:R1"/>
    <mergeCell ref="S1:U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ADB0-0FF5-486E-BB35-2F705808FE37}">
  <sheetPr codeName="Sheet2"/>
  <dimension ref="A1:U16"/>
  <sheetViews>
    <sheetView zoomScale="80" zoomScaleNormal="80" workbookViewId="0">
      <pane xSplit="1" ySplit="2" topLeftCell="H4" activePane="bottomRight" state="frozen"/>
      <selection pane="topRight" activeCell="B1" sqref="B1"/>
      <selection pane="bottomLeft" activeCell="A3" sqref="A3"/>
      <selection pane="bottomRight" sqref="A1:U15"/>
    </sheetView>
  </sheetViews>
  <sheetFormatPr defaultRowHeight="14.5" x14ac:dyDescent="0.35"/>
  <cols>
    <col min="1" max="1" width="7.08984375" customWidth="1"/>
    <col min="2" max="2" width="9.81640625" style="1" customWidth="1"/>
    <col min="3" max="3" width="12.90625" style="1" customWidth="1"/>
    <col min="4" max="4" width="14.7265625" style="1" customWidth="1"/>
    <col min="5" max="5" width="10.453125" style="1" customWidth="1"/>
    <col min="6" max="6" width="12" style="1" customWidth="1"/>
    <col min="7" max="7" width="11.453125" style="1" customWidth="1"/>
    <col min="8" max="8" width="12.1796875" style="1" customWidth="1"/>
    <col min="9" max="9" width="13.90625" style="1" customWidth="1"/>
    <col min="10" max="10" width="10.6328125" style="1" customWidth="1"/>
    <col min="11" max="12" width="16" style="1" customWidth="1"/>
    <col min="13" max="13" width="11.6328125" style="1" customWidth="1"/>
    <col min="14" max="14" width="13.6328125" style="1" customWidth="1"/>
    <col min="15" max="15" width="12.7265625" style="1" customWidth="1"/>
    <col min="16" max="16" width="13.1796875" style="1" customWidth="1"/>
    <col min="17" max="17" width="13.7265625" style="1" customWidth="1"/>
    <col min="18" max="18" width="11.1796875" style="1" customWidth="1"/>
    <col min="19" max="19" width="15.36328125" style="1" customWidth="1"/>
    <col min="20" max="20" width="17.7265625" style="1" customWidth="1"/>
    <col min="21" max="21" width="17.08984375" style="1" customWidth="1"/>
  </cols>
  <sheetData>
    <row r="1" spans="1:21" x14ac:dyDescent="0.35">
      <c r="A1" s="4"/>
      <c r="B1" s="5"/>
      <c r="C1" s="98" t="s">
        <v>0</v>
      </c>
      <c r="D1" s="99"/>
      <c r="E1" s="99"/>
      <c r="F1" s="99"/>
      <c r="G1" s="99"/>
      <c r="H1" s="99"/>
      <c r="I1" s="99"/>
      <c r="J1" s="100"/>
      <c r="K1" s="110" t="s">
        <v>1</v>
      </c>
      <c r="L1" s="111"/>
      <c r="M1" s="111"/>
      <c r="N1" s="111"/>
      <c r="O1" s="111"/>
      <c r="P1" s="111"/>
      <c r="Q1" s="111"/>
      <c r="R1" s="112"/>
      <c r="S1" s="113" t="s">
        <v>2</v>
      </c>
      <c r="T1" s="114"/>
      <c r="U1" s="114"/>
    </row>
    <row r="2" spans="1:21" s="2" customFormat="1" ht="58" x14ac:dyDescent="0.35">
      <c r="A2" s="6" t="s">
        <v>3</v>
      </c>
      <c r="B2" s="7" t="s">
        <v>4</v>
      </c>
      <c r="C2" s="33" t="s">
        <v>5</v>
      </c>
      <c r="D2" s="33" t="s">
        <v>6</v>
      </c>
      <c r="E2" s="33" t="s">
        <v>7</v>
      </c>
      <c r="F2" s="33" t="s">
        <v>8</v>
      </c>
      <c r="G2" s="33" t="s">
        <v>9</v>
      </c>
      <c r="H2" s="33" t="s">
        <v>10</v>
      </c>
      <c r="I2" s="33" t="s">
        <v>11</v>
      </c>
      <c r="J2" s="33" t="s">
        <v>12</v>
      </c>
      <c r="K2" s="32" t="s">
        <v>13</v>
      </c>
      <c r="L2" s="32" t="s">
        <v>14</v>
      </c>
      <c r="M2" s="32" t="s">
        <v>15</v>
      </c>
      <c r="N2" s="32" t="s">
        <v>16</v>
      </c>
      <c r="O2" s="32" t="s">
        <v>17</v>
      </c>
      <c r="P2" s="32" t="s">
        <v>18</v>
      </c>
      <c r="Q2" s="32" t="s">
        <v>19</v>
      </c>
      <c r="R2" s="32" t="s">
        <v>20</v>
      </c>
      <c r="S2" s="7" t="s">
        <v>21</v>
      </c>
      <c r="T2" s="7" t="s">
        <v>22</v>
      </c>
      <c r="U2" s="8" t="s">
        <v>23</v>
      </c>
    </row>
    <row r="3" spans="1:21" x14ac:dyDescent="0.35">
      <c r="A3" s="9" t="s">
        <v>24</v>
      </c>
      <c r="B3" s="10">
        <v>0.16</v>
      </c>
      <c r="C3" s="11">
        <v>20</v>
      </c>
      <c r="D3" s="11">
        <v>4</v>
      </c>
      <c r="E3" s="11">
        <v>8</v>
      </c>
      <c r="F3" s="11">
        <v>143</v>
      </c>
      <c r="G3" s="11">
        <v>48.1</v>
      </c>
      <c r="H3" s="11">
        <f>Table2[[#This Row],[Asset Savings - Billing]]+Table2[[#This Row],[Automation Savings - Billing]]</f>
        <v>191.1</v>
      </c>
      <c r="I3" s="11">
        <v>6651.85</v>
      </c>
      <c r="J3" s="12">
        <f>H3/I3</f>
        <v>2.8728849868833482E-2</v>
      </c>
      <c r="K3" s="11">
        <v>285</v>
      </c>
      <c r="L3" s="11">
        <v>141</v>
      </c>
      <c r="M3" s="11">
        <v>49</v>
      </c>
      <c r="N3" s="11">
        <v>1551.24</v>
      </c>
      <c r="O3" s="11">
        <v>2684</v>
      </c>
      <c r="P3" s="11">
        <f>Table2[[#This Row],[Asset Savings - Charging]]+Table2[[#This Row],[Automation Savings - Charging]]</f>
        <v>4235.24</v>
      </c>
      <c r="Q3" s="11">
        <v>44613</v>
      </c>
      <c r="R3" s="13">
        <f>Table2[[#This Row],[Total Savings - Charging]]/Table2[[#This Row],[Billability Hours - Charging]]</f>
        <v>9.4932867101517493E-2</v>
      </c>
      <c r="S3" s="14">
        <f>Table2[[#This Row],[Total Savings - Billing]]+Table2[[#This Row],[Total Savings - Charging]]</f>
        <v>4426.34</v>
      </c>
      <c r="T3" s="14">
        <f>Table2[[#This Row],[Billability Hours - Billing]]+Table2[[#This Row],[Billability Hours - Charging]]</f>
        <v>51264.85</v>
      </c>
      <c r="U3" s="15">
        <f>S3/T3</f>
        <v>8.6342591463741736E-2</v>
      </c>
    </row>
    <row r="4" spans="1:21" x14ac:dyDescent="0.35">
      <c r="A4" s="9" t="s">
        <v>25</v>
      </c>
      <c r="B4" s="10">
        <v>0.16</v>
      </c>
      <c r="C4" s="11">
        <v>20</v>
      </c>
      <c r="D4" s="11">
        <v>5</v>
      </c>
      <c r="E4" s="11">
        <v>8</v>
      </c>
      <c r="F4" s="11">
        <v>112</v>
      </c>
      <c r="G4" s="11">
        <v>24.5</v>
      </c>
      <c r="H4" s="11">
        <f>Table2[[#This Row],[Asset Savings - Billing]]+Table2[[#This Row],[Automation Savings - Billing]]</f>
        <v>136.5</v>
      </c>
      <c r="I4" s="11">
        <v>6033</v>
      </c>
      <c r="J4" s="12">
        <f t="shared" ref="J4" si="0">H4/I4</f>
        <v>2.2625559423172553E-2</v>
      </c>
      <c r="K4" s="11">
        <v>213</v>
      </c>
      <c r="L4" s="11">
        <v>239</v>
      </c>
      <c r="M4" s="11">
        <v>44</v>
      </c>
      <c r="N4" s="11">
        <v>2465</v>
      </c>
      <c r="O4" s="11">
        <v>3455</v>
      </c>
      <c r="P4" s="11">
        <f>Table2[[#This Row],[Asset Savings - Charging]]+Table2[[#This Row],[Automation Savings - Charging]]</f>
        <v>5920</v>
      </c>
      <c r="Q4" s="11">
        <v>41659</v>
      </c>
      <c r="R4" s="13">
        <f>Table2[[#This Row],[Total Savings - Charging]]/Table2[[#This Row],[Billability Hours - Charging]]</f>
        <v>0.14210614753114573</v>
      </c>
      <c r="S4" s="14">
        <f>Table2[[#This Row],[Total Savings - Billing]]+Table2[[#This Row],[Total Savings - Charging]]</f>
        <v>6056.5</v>
      </c>
      <c r="T4" s="14">
        <f>Table2[[#This Row],[Billability Hours - Billing]]+Table2[[#This Row],[Billability Hours - Charging]]</f>
        <v>47692</v>
      </c>
      <c r="U4" s="15">
        <f t="shared" ref="U4" si="1">S4/T4</f>
        <v>0.12699194833515054</v>
      </c>
    </row>
    <row r="5" spans="1:21" x14ac:dyDescent="0.35">
      <c r="A5" s="9" t="s">
        <v>26</v>
      </c>
      <c r="B5" s="10">
        <v>0.16</v>
      </c>
      <c r="C5" s="11">
        <v>9</v>
      </c>
      <c r="D5" s="11">
        <v>4</v>
      </c>
      <c r="E5" s="11">
        <v>7</v>
      </c>
      <c r="F5" s="11">
        <v>148</v>
      </c>
      <c r="G5" s="11">
        <v>0.8</v>
      </c>
      <c r="H5" s="11">
        <f>Table2[[#This Row],[Asset Savings - Billing]]+Table2[[#This Row],[Automation Savings - Billing]]</f>
        <v>148.80000000000001</v>
      </c>
      <c r="I5" s="11">
        <v>6090</v>
      </c>
      <c r="J5" s="12">
        <f t="shared" ref="J5:J15" si="2">H5/I5</f>
        <v>2.4433497536945816E-2</v>
      </c>
      <c r="K5" s="11">
        <v>223</v>
      </c>
      <c r="L5" s="11">
        <v>139</v>
      </c>
      <c r="M5" s="11">
        <v>62</v>
      </c>
      <c r="N5" s="11">
        <v>969.48</v>
      </c>
      <c r="O5" s="11">
        <v>2723.24</v>
      </c>
      <c r="P5" s="11">
        <f>Table2[[#This Row],[Asset Savings - Charging]]+Table2[[#This Row],[Automation Savings - Charging]]</f>
        <v>3692.72</v>
      </c>
      <c r="Q5" s="11">
        <v>40996</v>
      </c>
      <c r="R5" s="13">
        <f>Table2[[#This Row],[Total Savings - Charging]]/Table2[[#This Row],[Billability Hours - Charging]]</f>
        <v>9.0075129280905455E-2</v>
      </c>
      <c r="S5" s="14">
        <f>Table2[[#This Row],[Total Savings - Billing]]+Table2[[#This Row],[Total Savings - Charging]]</f>
        <v>3841.52</v>
      </c>
      <c r="T5" s="14">
        <f>Table2[[#This Row],[Billability Hours - Billing]]+Table2[[#This Row],[Billability Hours - Charging]]</f>
        <v>47086</v>
      </c>
      <c r="U5" s="15">
        <f t="shared" ref="U5:U8" si="3">S5/T5</f>
        <v>8.1585184555918955E-2</v>
      </c>
    </row>
    <row r="6" spans="1:21" x14ac:dyDescent="0.35">
      <c r="A6" s="9" t="s">
        <v>27</v>
      </c>
      <c r="B6" s="10">
        <v>0.16</v>
      </c>
      <c r="C6" s="11">
        <v>20</v>
      </c>
      <c r="D6" s="11">
        <v>10</v>
      </c>
      <c r="E6" s="11">
        <v>6</v>
      </c>
      <c r="F6" s="11">
        <v>684.42</v>
      </c>
      <c r="G6" s="11">
        <v>0.45</v>
      </c>
      <c r="H6" s="11">
        <f>Table2[[#This Row],[Asset Savings - Billing]]+Table2[[#This Row],[Automation Savings - Billing]]</f>
        <v>684.87</v>
      </c>
      <c r="I6" s="11">
        <v>6217</v>
      </c>
      <c r="J6" s="12">
        <f>H6/I6</f>
        <v>0.11016084928422068</v>
      </c>
      <c r="K6" s="11">
        <v>258</v>
      </c>
      <c r="L6" s="11">
        <v>233</v>
      </c>
      <c r="M6" s="11">
        <v>139</v>
      </c>
      <c r="N6" s="11">
        <v>2183.5500000000002</v>
      </c>
      <c r="O6" s="11">
        <v>4112</v>
      </c>
      <c r="P6" s="11">
        <f>Table2[[#This Row],[Asset Savings - Charging]]+Table2[[#This Row],[Automation Savings - Charging]]</f>
        <v>6295.55</v>
      </c>
      <c r="Q6" s="11">
        <v>40248</v>
      </c>
      <c r="R6" s="13">
        <f>Table2[[#This Row],[Total Savings - Charging]]/Table2[[#This Row],[Billability Hours - Charging]]</f>
        <v>0.15641895249453389</v>
      </c>
      <c r="S6" s="14">
        <f>Table2[[#This Row],[Total Savings - Billing]]+Table2[[#This Row],[Total Savings - Charging]]</f>
        <v>6980.42</v>
      </c>
      <c r="T6" s="14">
        <f>Table2[[#This Row],[Billability Hours - Billing]]+Table2[[#This Row],[Billability Hours - Charging]]</f>
        <v>46465</v>
      </c>
      <c r="U6" s="15">
        <f>S6/T6</f>
        <v>0.15022963520929733</v>
      </c>
    </row>
    <row r="7" spans="1:21" x14ac:dyDescent="0.35">
      <c r="A7" s="9" t="s">
        <v>28</v>
      </c>
      <c r="B7" s="10">
        <v>0.16</v>
      </c>
      <c r="C7" s="11">
        <v>29</v>
      </c>
      <c r="D7" s="11">
        <v>10</v>
      </c>
      <c r="E7" s="11">
        <v>3</v>
      </c>
      <c r="F7" s="11">
        <v>254.9</v>
      </c>
      <c r="G7" s="11">
        <v>19.649999999999999</v>
      </c>
      <c r="H7" s="11">
        <f>Table2[[#This Row],[Asset Savings - Billing]]+Table2[[#This Row],[Automation Savings - Billing]]</f>
        <v>274.55</v>
      </c>
      <c r="I7" s="11">
        <v>6908</v>
      </c>
      <c r="J7" s="12">
        <f>H7/I7</f>
        <v>3.9743775332947311E-2</v>
      </c>
      <c r="K7" s="11">
        <v>355</v>
      </c>
      <c r="L7" s="11">
        <v>221</v>
      </c>
      <c r="M7" s="11">
        <v>67</v>
      </c>
      <c r="N7" s="11">
        <v>1785.6</v>
      </c>
      <c r="O7" s="11">
        <v>4764.8</v>
      </c>
      <c r="P7" s="11">
        <f>Table2[[#This Row],[Asset Savings - Charging]]+Table2[[#This Row],[Automation Savings - Charging]]</f>
        <v>6550.4</v>
      </c>
      <c r="Q7" s="11">
        <v>43121</v>
      </c>
      <c r="R7" s="13">
        <f>Table2[[#This Row],[Total Savings - Charging]]/Table2[[#This Row],[Billability Hours - Charging]]</f>
        <v>0.15190742329723336</v>
      </c>
      <c r="S7" s="14">
        <f>Table2[[#This Row],[Total Savings - Billing]]+Table2[[#This Row],[Total Savings - Charging]]</f>
        <v>6824.95</v>
      </c>
      <c r="T7" s="14">
        <f>Table2[[#This Row],[Billability Hours - Billing]]+Table2[[#This Row],[Billability Hours - Charging]]</f>
        <v>50029</v>
      </c>
      <c r="U7" s="15">
        <f>S7/T7</f>
        <v>0.13641987647164644</v>
      </c>
    </row>
    <row r="8" spans="1:21" x14ac:dyDescent="0.35">
      <c r="A8" s="9" t="s">
        <v>29</v>
      </c>
      <c r="B8" s="10">
        <v>0.16</v>
      </c>
      <c r="C8" s="11">
        <v>22</v>
      </c>
      <c r="D8" s="11">
        <v>7</v>
      </c>
      <c r="E8" s="11">
        <v>13</v>
      </c>
      <c r="F8" s="11">
        <v>131.19999999999999</v>
      </c>
      <c r="G8" s="11">
        <v>5.45</v>
      </c>
      <c r="H8" s="11">
        <f>Table2[[#This Row],[Asset Savings - Billing]]+Table2[[#This Row],[Automation Savings - Billing]]</f>
        <v>136.64999999999998</v>
      </c>
      <c r="I8" s="11">
        <v>7306</v>
      </c>
      <c r="J8" s="12">
        <f t="shared" si="2"/>
        <v>1.8703805091705446E-2</v>
      </c>
      <c r="K8" s="11">
        <v>277</v>
      </c>
      <c r="L8" s="11">
        <v>134</v>
      </c>
      <c r="M8" s="11">
        <v>58</v>
      </c>
      <c r="N8" s="11">
        <v>1613.72</v>
      </c>
      <c r="O8" s="11">
        <v>3734.9</v>
      </c>
      <c r="P8" s="11">
        <f>Table2[[#This Row],[Asset Savings - Charging]]+Table2[[#This Row],[Automation Savings - Charging]]</f>
        <v>5348.62</v>
      </c>
      <c r="Q8" s="11">
        <v>40965</v>
      </c>
      <c r="R8" s="13">
        <f>Table2[[#This Row],[Total Savings - Charging]]/Table2[[#This Row],[Billability Hours - Charging]]</f>
        <v>0.13056560478457219</v>
      </c>
      <c r="S8" s="14">
        <f>Table2[[#This Row],[Total Savings - Billing]]+Table2[[#This Row],[Total Savings - Charging]]</f>
        <v>5485.2699999999995</v>
      </c>
      <c r="T8" s="14">
        <f>Table2[[#This Row],[Billability Hours - Billing]]+Table2[[#This Row],[Billability Hours - Charging]]</f>
        <v>48271</v>
      </c>
      <c r="U8" s="15">
        <f t="shared" si="3"/>
        <v>0.11363489465724762</v>
      </c>
    </row>
    <row r="9" spans="1:21" x14ac:dyDescent="0.35">
      <c r="A9" s="9" t="s">
        <v>32</v>
      </c>
      <c r="B9" s="10">
        <v>0.16</v>
      </c>
      <c r="C9" s="11">
        <v>34</v>
      </c>
      <c r="D9" s="11">
        <v>6</v>
      </c>
      <c r="E9" s="11">
        <v>3</v>
      </c>
      <c r="F9" s="11">
        <v>502.2</v>
      </c>
      <c r="G9" s="11">
        <v>22.1</v>
      </c>
      <c r="H9" s="11">
        <f>Table2[[#This Row],[Asset Savings - Billing]]+Table2[[#This Row],[Automation Savings - Billing]]</f>
        <v>524.29999999999995</v>
      </c>
      <c r="I9" s="11">
        <v>10082</v>
      </c>
      <c r="J9" s="12">
        <f t="shared" si="2"/>
        <v>5.2003570720095212E-2</v>
      </c>
      <c r="K9" s="11">
        <v>309</v>
      </c>
      <c r="L9" s="11">
        <v>210</v>
      </c>
      <c r="M9" s="11">
        <v>73</v>
      </c>
      <c r="N9" s="11">
        <v>1797.23</v>
      </c>
      <c r="O9" s="11">
        <v>3669.84</v>
      </c>
      <c r="P9" s="11">
        <f>Table2[[#This Row],[Asset Savings - Charging]]+Table2[[#This Row],[Automation Savings - Charging]]</f>
        <v>5467.07</v>
      </c>
      <c r="Q9" s="11">
        <v>43825</v>
      </c>
      <c r="R9" s="13">
        <f>Table2[[#This Row],[Total Savings - Charging]]/Table2[[#This Row],[Billability Hours - Charging]]</f>
        <v>0.12474774671990872</v>
      </c>
      <c r="S9" s="14">
        <f>Table2[[#This Row],[Total Savings - Billing]]+Table2[[#This Row],[Total Savings - Charging]]</f>
        <v>5991.37</v>
      </c>
      <c r="T9" s="14">
        <f>Table2[[#This Row],[Billability Hours - Billing]]+Table2[[#This Row],[Billability Hours - Charging]]</f>
        <v>53907</v>
      </c>
      <c r="U9" s="15">
        <f>S9/T9</f>
        <v>0.11114270873912478</v>
      </c>
    </row>
    <row r="10" spans="1:21" x14ac:dyDescent="0.35">
      <c r="A10" s="43" t="s">
        <v>50</v>
      </c>
      <c r="B10" s="10">
        <v>0.16</v>
      </c>
      <c r="C10" s="44">
        <v>17</v>
      </c>
      <c r="D10" s="44">
        <v>10</v>
      </c>
      <c r="E10" s="44">
        <v>28</v>
      </c>
      <c r="F10" s="44">
        <v>26.3</v>
      </c>
      <c r="G10" s="44">
        <v>326.49</v>
      </c>
      <c r="H10" s="11">
        <f>Table2[[#This Row],[Asset Savings - Billing]]+Table2[[#This Row],[Automation Savings - Billing]]</f>
        <v>352.79</v>
      </c>
      <c r="I10" s="44">
        <v>8841</v>
      </c>
      <c r="J10" s="12">
        <f t="shared" si="2"/>
        <v>3.9903857029747768E-2</v>
      </c>
      <c r="K10" s="44">
        <v>229</v>
      </c>
      <c r="L10" s="44">
        <v>148</v>
      </c>
      <c r="M10" s="44">
        <v>92</v>
      </c>
      <c r="N10" s="44">
        <v>1535.1</v>
      </c>
      <c r="O10" s="44">
        <v>2105.0700000000002</v>
      </c>
      <c r="P10" s="11">
        <f>Table2[[#This Row],[Asset Savings - Charging]]+Table2[[#This Row],[Automation Savings - Charging]]</f>
        <v>3640.17</v>
      </c>
      <c r="Q10" s="44">
        <v>39175</v>
      </c>
      <c r="R10" s="13">
        <f>Table2[[#This Row],[Total Savings - Charging]]/Table2[[#This Row],[Billability Hours - Charging]]</f>
        <v>9.2920740268028088E-2</v>
      </c>
      <c r="S10" s="14">
        <f>Table2[[#This Row],[Total Savings - Billing]]+Table2[[#This Row],[Total Savings - Charging]]</f>
        <v>3992.96</v>
      </c>
      <c r="T10" s="14">
        <f>Table2[[#This Row],[Billability Hours - Billing]]+Table2[[#This Row],[Billability Hours - Charging]]</f>
        <v>48016</v>
      </c>
      <c r="U10" s="45">
        <f t="shared" ref="U10:U13" si="4">S10/T10</f>
        <v>8.3158947017660786E-2</v>
      </c>
    </row>
    <row r="11" spans="1:21" x14ac:dyDescent="0.35">
      <c r="A11" s="9" t="s">
        <v>53</v>
      </c>
      <c r="B11" s="10">
        <v>0.16</v>
      </c>
      <c r="C11" s="11">
        <v>8</v>
      </c>
      <c r="D11" s="11">
        <v>5</v>
      </c>
      <c r="E11" s="11">
        <v>31</v>
      </c>
      <c r="F11" s="11">
        <v>379.5</v>
      </c>
      <c r="G11" s="11">
        <v>14.4</v>
      </c>
      <c r="H11" s="11">
        <f>Table2[[#This Row],[Asset Savings - Billing]]+Table2[[#This Row],[Automation Savings - Billing]]</f>
        <v>393.9</v>
      </c>
      <c r="I11" s="11">
        <v>9505</v>
      </c>
      <c r="J11" s="12">
        <f>H11/I11</f>
        <v>4.1441346659652809E-2</v>
      </c>
      <c r="K11" s="11">
        <v>153</v>
      </c>
      <c r="L11" s="11">
        <v>95</v>
      </c>
      <c r="M11" s="11">
        <v>140</v>
      </c>
      <c r="N11" s="11">
        <v>1564.68</v>
      </c>
      <c r="O11" s="11">
        <v>699.29</v>
      </c>
      <c r="P11" s="11">
        <f>Table2[[#This Row],[Asset Savings - Charging]]+Table2[[#This Row],[Automation Savings - Charging]]</f>
        <v>2263.9700000000003</v>
      </c>
      <c r="Q11" s="11">
        <v>40576</v>
      </c>
      <c r="R11" s="13">
        <f>Table2[[#This Row],[Total Savings - Charging]]/Table2[[#This Row],[Billability Hours - Charging]]</f>
        <v>5.5795790615141963E-2</v>
      </c>
      <c r="S11" s="14">
        <f>Table2[[#This Row],[Total Savings - Billing]]+Table2[[#This Row],[Total Savings - Charging]]</f>
        <v>2657.8700000000003</v>
      </c>
      <c r="T11" s="14">
        <f>Table2[[#This Row],[Billability Hours - Billing]]+Table2[[#This Row],[Billability Hours - Charging]]</f>
        <v>50081</v>
      </c>
      <c r="U11" s="15">
        <f t="shared" si="4"/>
        <v>5.307142429264592E-2</v>
      </c>
    </row>
    <row r="12" spans="1:21" x14ac:dyDescent="0.35">
      <c r="A12" s="9" t="s">
        <v>54</v>
      </c>
      <c r="B12" s="10">
        <v>0.16</v>
      </c>
      <c r="C12" s="11">
        <v>39</v>
      </c>
      <c r="D12" s="11">
        <v>6</v>
      </c>
      <c r="E12" s="11">
        <v>46</v>
      </c>
      <c r="F12" s="11">
        <v>212</v>
      </c>
      <c r="G12" s="11">
        <v>0.5</v>
      </c>
      <c r="H12" s="11">
        <f>Table2[[#This Row],[Asset Savings - Billing]]+Table2[[#This Row],[Automation Savings - Billing]]</f>
        <v>212.5</v>
      </c>
      <c r="I12" s="11">
        <v>8976</v>
      </c>
      <c r="J12" s="12">
        <f>H12/I12</f>
        <v>2.3674242424242424E-2</v>
      </c>
      <c r="K12" s="11">
        <v>99</v>
      </c>
      <c r="L12" s="11">
        <v>52</v>
      </c>
      <c r="M12" s="11">
        <v>187</v>
      </c>
      <c r="N12" s="11">
        <v>784.4</v>
      </c>
      <c r="O12" s="11">
        <v>1058.77</v>
      </c>
      <c r="P12" s="14">
        <v>1843.17</v>
      </c>
      <c r="Q12" s="11">
        <v>39390</v>
      </c>
      <c r="R12" s="13">
        <f>Table2[[#This Row],[Total Savings - Charging]]/Table2[[#This Row],[Billability Hours - Charging]]</f>
        <v>4.6792840822543792E-2</v>
      </c>
      <c r="S12" s="14">
        <f>Table2[[#This Row],[Total Savings - Billing]]+Table2[[#This Row],[Total Savings - Charging]]</f>
        <v>2055.67</v>
      </c>
      <c r="T12" s="14">
        <f>Table2[[#This Row],[Billability Hours - Billing]]+Table2[[#This Row],[Billability Hours - Charging]]</f>
        <v>48366</v>
      </c>
      <c r="U12" s="15">
        <f t="shared" si="4"/>
        <v>4.2502377703345327E-2</v>
      </c>
    </row>
    <row r="13" spans="1:21" x14ac:dyDescent="0.35">
      <c r="A13" s="9" t="s">
        <v>55</v>
      </c>
      <c r="B13" s="10">
        <v>0.16</v>
      </c>
      <c r="C13" s="11">
        <v>27</v>
      </c>
      <c r="D13" s="11">
        <v>19</v>
      </c>
      <c r="E13" s="11">
        <v>49</v>
      </c>
      <c r="F13" s="11">
        <v>289</v>
      </c>
      <c r="G13" s="11">
        <v>1064</v>
      </c>
      <c r="H13" s="11">
        <f>Table2[[#This Row],[Asset Savings - Billing]]+Table2[[#This Row],[Automation Savings - Billing]]</f>
        <v>1353</v>
      </c>
      <c r="I13" s="11">
        <v>6541</v>
      </c>
      <c r="J13" s="12">
        <f>H13/I13</f>
        <v>0.20684910564133924</v>
      </c>
      <c r="K13" s="11">
        <v>96</v>
      </c>
      <c r="L13" s="11">
        <v>64</v>
      </c>
      <c r="M13" s="11">
        <v>193</v>
      </c>
      <c r="N13" s="11">
        <v>1375</v>
      </c>
      <c r="O13" s="11">
        <v>704</v>
      </c>
      <c r="P13" s="11">
        <v>2080</v>
      </c>
      <c r="Q13" s="11">
        <v>41298</v>
      </c>
      <c r="R13" s="13">
        <f>Table2[[#This Row],[Total Savings - Charging]]/Table2[[#This Row],[Billability Hours - Charging]]</f>
        <v>5.036563513971621E-2</v>
      </c>
      <c r="S13" s="14">
        <f>Table2[[#This Row],[Total Savings - Billing]]+Table2[[#This Row],[Total Savings - Charging]]</f>
        <v>3433</v>
      </c>
      <c r="T13" s="14">
        <f>Table2[[#This Row],[Billability Hours - Billing]]+Table2[[#This Row],[Billability Hours - Charging]]</f>
        <v>47839</v>
      </c>
      <c r="U13" s="15">
        <f t="shared" si="4"/>
        <v>7.1761533476870337E-2</v>
      </c>
    </row>
    <row r="14" spans="1:21" x14ac:dyDescent="0.35">
      <c r="A14" s="9" t="s">
        <v>56</v>
      </c>
      <c r="B14" s="10">
        <v>0.16</v>
      </c>
      <c r="C14" s="11">
        <v>31</v>
      </c>
      <c r="D14" s="11">
        <v>22</v>
      </c>
      <c r="E14" s="11">
        <v>52</v>
      </c>
      <c r="F14" s="11">
        <v>1901</v>
      </c>
      <c r="G14" s="11">
        <v>1144</v>
      </c>
      <c r="H14" s="11">
        <f>Table2[[#This Row],[Asset Savings - Billing]]+Table2[[#This Row],[Automation Savings - Billing]]</f>
        <v>3045</v>
      </c>
      <c r="I14" s="11">
        <v>8606</v>
      </c>
      <c r="J14" s="12">
        <f>H14/I14</f>
        <v>0.35382291424587498</v>
      </c>
      <c r="K14" s="11">
        <v>193</v>
      </c>
      <c r="L14" s="11">
        <v>153</v>
      </c>
      <c r="M14" s="11">
        <v>221</v>
      </c>
      <c r="N14" s="11">
        <v>2602</v>
      </c>
      <c r="O14" s="11">
        <v>1882</v>
      </c>
      <c r="P14" s="11">
        <v>4486</v>
      </c>
      <c r="Q14" s="11">
        <v>29642</v>
      </c>
      <c r="R14" s="13">
        <f>Table2[[#This Row],[Total Savings - Charging]]/Table2[[#This Row],[Billability Hours - Charging]]</f>
        <v>0.15133931583563862</v>
      </c>
      <c r="S14" s="14">
        <f>Table2[[#This Row],[Total Savings - Billing]]+Table2[[#This Row],[Total Savings - Charging]]</f>
        <v>7531</v>
      </c>
      <c r="T14" s="14">
        <f>Table2[[#This Row],[Billability Hours - Billing]]+Table2[[#This Row],[Billability Hours - Charging]]</f>
        <v>38248</v>
      </c>
      <c r="U14" s="15">
        <f>S14/T14</f>
        <v>0.196899184271073</v>
      </c>
    </row>
    <row r="15" spans="1:21" x14ac:dyDescent="0.35">
      <c r="A15" s="16" t="s">
        <v>30</v>
      </c>
      <c r="B15" s="10">
        <v>0.16</v>
      </c>
      <c r="C15" s="17">
        <f>SUM(C3:C14)</f>
        <v>276</v>
      </c>
      <c r="D15" s="17">
        <f>SUM(D3:D14)</f>
        <v>108</v>
      </c>
      <c r="E15" s="17">
        <f>E3</f>
        <v>8</v>
      </c>
      <c r="F15" s="50">
        <f>SUM(F3:F14)</f>
        <v>4783.5200000000004</v>
      </c>
      <c r="G15" s="50">
        <f>SUM(G3:G14)</f>
        <v>2670.44</v>
      </c>
      <c r="H15" s="21">
        <f>SUM(H3:H14)</f>
        <v>7453.9599999999991</v>
      </c>
      <c r="I15" s="21">
        <f>SUM(I3:I14)</f>
        <v>91756.85</v>
      </c>
      <c r="J15" s="22">
        <f t="shared" si="2"/>
        <v>8.123600581318996E-2</v>
      </c>
      <c r="K15" s="17">
        <f>SUM(K3:K14)</f>
        <v>2690</v>
      </c>
      <c r="L15" s="17">
        <f>SUM(L3:L14)</f>
        <v>1829</v>
      </c>
      <c r="M15" s="17">
        <f>M8</f>
        <v>58</v>
      </c>
      <c r="N15" s="17">
        <f>SUM(N3:N14)</f>
        <v>20227</v>
      </c>
      <c r="O15" s="17">
        <f>SUM(O3:O14)</f>
        <v>31592.910000000003</v>
      </c>
      <c r="P15" s="21">
        <f>SUM(P3:P14)</f>
        <v>51822.909999999989</v>
      </c>
      <c r="Q15" s="17">
        <f>SUM(Q3:Q14)</f>
        <v>485508</v>
      </c>
      <c r="R15" s="23">
        <f>P15/Q15</f>
        <v>0.10673955938934063</v>
      </c>
      <c r="S15" s="48">
        <f>P15+H15</f>
        <v>59276.869999999988</v>
      </c>
      <c r="T15" s="18">
        <f>I15+Q15</f>
        <v>577264.85</v>
      </c>
      <c r="U15" s="49">
        <f>S15/T15</f>
        <v>0.10268574294797266</v>
      </c>
    </row>
    <row r="16" spans="1:21" x14ac:dyDescent="0.35">
      <c r="B16" s="46"/>
      <c r="J16" s="3"/>
      <c r="R16" s="3"/>
      <c r="U16" s="3"/>
    </row>
  </sheetData>
  <mergeCells count="3">
    <mergeCell ref="C1:J1"/>
    <mergeCell ref="K1:R1"/>
    <mergeCell ref="S1:U1"/>
  </mergeCells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87AD-F850-4750-8AED-0627681DBF00}">
  <dimension ref="A1:AK15"/>
  <sheetViews>
    <sheetView tabSelected="1" zoomScale="60" zoomScaleNormal="60" workbookViewId="0"/>
  </sheetViews>
  <sheetFormatPr defaultColWidth="16.54296875" defaultRowHeight="14.5" x14ac:dyDescent="0.35"/>
  <sheetData>
    <row r="1" spans="1:37" x14ac:dyDescent="0.35">
      <c r="A1" s="4"/>
      <c r="B1" s="5"/>
      <c r="C1" s="98" t="s">
        <v>0</v>
      </c>
      <c r="D1" s="99"/>
      <c r="E1" s="99"/>
      <c r="F1" s="99"/>
      <c r="G1" s="99"/>
      <c r="H1" s="99"/>
      <c r="I1" s="99"/>
      <c r="J1" s="100"/>
      <c r="K1" s="106" t="s">
        <v>1</v>
      </c>
      <c r="L1" s="107"/>
      <c r="M1" s="107"/>
      <c r="N1" s="107"/>
      <c r="O1" s="107"/>
      <c r="P1" s="107"/>
      <c r="Q1" s="107"/>
      <c r="R1" s="107"/>
      <c r="S1" s="108" t="s">
        <v>311</v>
      </c>
      <c r="T1" s="108"/>
      <c r="U1" s="108"/>
      <c r="V1" s="108"/>
      <c r="W1" s="108"/>
      <c r="X1" s="108"/>
      <c r="Y1" s="108"/>
      <c r="Z1" s="109"/>
      <c r="AA1" s="101" t="s">
        <v>312</v>
      </c>
      <c r="AB1" s="102"/>
      <c r="AC1" s="102"/>
      <c r="AD1" s="102"/>
      <c r="AE1" s="102"/>
      <c r="AF1" s="102"/>
      <c r="AG1" s="102"/>
      <c r="AH1" s="103"/>
      <c r="AI1" s="104" t="s">
        <v>2</v>
      </c>
      <c r="AJ1" s="105"/>
      <c r="AK1" s="105"/>
    </row>
    <row r="2" spans="1:37" ht="58" x14ac:dyDescent="0.35">
      <c r="A2" s="6" t="s">
        <v>3</v>
      </c>
      <c r="B2" s="7" t="s">
        <v>4</v>
      </c>
      <c r="C2" s="33" t="s">
        <v>5</v>
      </c>
      <c r="D2" s="33" t="s">
        <v>6</v>
      </c>
      <c r="E2" s="33" t="s">
        <v>7</v>
      </c>
      <c r="F2" s="33" t="s">
        <v>8</v>
      </c>
      <c r="G2" s="33" t="s">
        <v>9</v>
      </c>
      <c r="H2" s="33" t="s">
        <v>10</v>
      </c>
      <c r="I2" s="33" t="s">
        <v>11</v>
      </c>
      <c r="J2" s="33" t="s">
        <v>12</v>
      </c>
      <c r="K2" s="91" t="s">
        <v>13</v>
      </c>
      <c r="L2" s="91" t="s">
        <v>14</v>
      </c>
      <c r="M2" s="91" t="s">
        <v>15</v>
      </c>
      <c r="N2" s="91" t="s">
        <v>16</v>
      </c>
      <c r="O2" s="91" t="s">
        <v>17</v>
      </c>
      <c r="P2" s="91" t="s">
        <v>18</v>
      </c>
      <c r="Q2" s="91" t="s">
        <v>19</v>
      </c>
      <c r="R2" s="91" t="s">
        <v>31</v>
      </c>
      <c r="S2" s="92" t="s">
        <v>313</v>
      </c>
      <c r="T2" s="92" t="s">
        <v>314</v>
      </c>
      <c r="U2" s="92" t="s">
        <v>315</v>
      </c>
      <c r="V2" s="92" t="s">
        <v>316</v>
      </c>
      <c r="W2" s="92" t="s">
        <v>317</v>
      </c>
      <c r="X2" s="92" t="s">
        <v>318</v>
      </c>
      <c r="Y2" s="92" t="s">
        <v>319</v>
      </c>
      <c r="Z2" s="92" t="s">
        <v>320</v>
      </c>
      <c r="AA2" s="93" t="s">
        <v>321</v>
      </c>
      <c r="AB2" s="93" t="s">
        <v>322</v>
      </c>
      <c r="AC2" s="93" t="s">
        <v>323</v>
      </c>
      <c r="AD2" s="93" t="s">
        <v>324</v>
      </c>
      <c r="AE2" s="93" t="s">
        <v>325</v>
      </c>
      <c r="AF2" s="93" t="s">
        <v>326</v>
      </c>
      <c r="AG2" s="93" t="s">
        <v>327</v>
      </c>
      <c r="AH2" s="93" t="s">
        <v>328</v>
      </c>
      <c r="AI2" s="94" t="s">
        <v>21</v>
      </c>
      <c r="AJ2" s="94" t="s">
        <v>22</v>
      </c>
      <c r="AK2" s="95" t="s">
        <v>23</v>
      </c>
    </row>
    <row r="3" spans="1:37" x14ac:dyDescent="0.35">
      <c r="A3" s="9" t="s">
        <v>24</v>
      </c>
      <c r="B3" s="10">
        <v>0.16</v>
      </c>
      <c r="C3" s="11">
        <v>4</v>
      </c>
      <c r="D3" s="11">
        <v>2</v>
      </c>
      <c r="E3" s="11"/>
      <c r="F3" s="11">
        <v>0</v>
      </c>
      <c r="G3" s="11">
        <v>58.38</v>
      </c>
      <c r="H3" s="11">
        <f>Table25[[#This Row],[Asset Savings - Billing]]+Table25[[#This Row],[Automation Savings - Billing]]</f>
        <v>58.38</v>
      </c>
      <c r="I3" s="11">
        <v>9640.75</v>
      </c>
      <c r="J3" s="12">
        <f>H3/I3</f>
        <v>6.0555454710473772E-3</v>
      </c>
      <c r="K3" s="11">
        <v>69</v>
      </c>
      <c r="L3" s="11">
        <v>67</v>
      </c>
      <c r="M3" s="11"/>
      <c r="N3" s="11">
        <v>3080.7</v>
      </c>
      <c r="O3" s="11">
        <v>1080.3499999999999</v>
      </c>
      <c r="P3" s="11">
        <f>Table25[[#This Row],[Asset Savings - Charging]]+Table25[[#This Row],[Automation Savings - Charging]]</f>
        <v>4161.0499999999993</v>
      </c>
      <c r="Q3" s="11">
        <v>36869</v>
      </c>
      <c r="R3" s="12">
        <f>Table25[[#This Row],[Total Savings - Charging]]/Table25[[#This Row],[Billability Hours - Charging]]</f>
        <v>0.11286039762402016</v>
      </c>
      <c r="S3" s="11">
        <v>3</v>
      </c>
      <c r="T3" s="11">
        <v>4</v>
      </c>
      <c r="U3" s="11"/>
      <c r="V3" s="11">
        <v>0</v>
      </c>
      <c r="W3" s="11">
        <v>1476</v>
      </c>
      <c r="X3" s="11">
        <f>Table25[[#This Row],[Asset Savings - SDC CS&amp;DFE]]+Table25[[#This Row],[Automation Savings - SDC CS&amp;DFE]]</f>
        <v>1476</v>
      </c>
      <c r="Y3" s="11">
        <v>18045</v>
      </c>
      <c r="Z3" s="12">
        <f>Table25[[#This Row],[Total Savings - SDC CS&amp;DFE]]/Table25[[#This Row],[Billability Hours - SDC CS&amp;DFE]]</f>
        <v>8.179551122194513E-2</v>
      </c>
      <c r="AA3" s="11">
        <v>0</v>
      </c>
      <c r="AB3" s="11">
        <v>0</v>
      </c>
      <c r="AC3" s="11"/>
      <c r="AD3" s="11">
        <v>0</v>
      </c>
      <c r="AE3" s="11">
        <v>0</v>
      </c>
      <c r="AF3" s="11">
        <f>Table25[[#This Row],[Asset Savings - SDC Billing&amp;MW]]+Table25[[#This Row],[Automation Savings - SDC Billing&amp;MW]]</f>
        <v>0</v>
      </c>
      <c r="AG3" s="11">
        <v>8010.64</v>
      </c>
      <c r="AH3" s="13">
        <f>Table25[[#This Row],[Total Savings - SDC Billing&amp;MW]]/Table25[[#This Row],[Billability Hours - SDC Billing&amp;MW]]</f>
        <v>0</v>
      </c>
      <c r="AI3" s="14">
        <f>Table25[[#This Row],[Total Savings - Billing]]+Table25[[#This Row],[Total Savings - Charging]]+Table25[[#This Row],[Total Savings - SDC CS&amp;DFE]]+Table25[[#This Row],[Total Savings - SDC Billing&amp;MW]]</f>
        <v>5695.4299999999994</v>
      </c>
      <c r="AJ3" s="14">
        <f>Table25[[#This Row],[Billability Hours - Billing]]+Table25[[#This Row],[Billability Hours - Charging]]+Table25[[#This Row],[Billability Hours - SDC CS&amp;DFE]]+Table25[[#This Row],[Billability Hours - SDC Billing&amp;MW]]</f>
        <v>72565.39</v>
      </c>
      <c r="AK3" s="15">
        <f>AI3/AJ3</f>
        <v>7.8486865432680783E-2</v>
      </c>
    </row>
    <row r="4" spans="1:37" x14ac:dyDescent="0.35">
      <c r="A4" s="9" t="s">
        <v>25</v>
      </c>
      <c r="B4" s="10">
        <v>0.16</v>
      </c>
      <c r="C4" s="11">
        <v>17</v>
      </c>
      <c r="D4" s="11">
        <v>17</v>
      </c>
      <c r="E4" s="11"/>
      <c r="F4" s="11">
        <v>307.5</v>
      </c>
      <c r="G4" s="11">
        <v>1071.5999999999999</v>
      </c>
      <c r="H4" s="11">
        <f>Table25[[#This Row],[Asset Savings - Billing]]+Table25[[#This Row],[Automation Savings - Billing]]</f>
        <v>1379.1</v>
      </c>
      <c r="I4" s="11">
        <v>10714</v>
      </c>
      <c r="J4" s="12">
        <f>H4/I4</f>
        <v>0.12871943251820048</v>
      </c>
      <c r="K4" s="11"/>
      <c r="L4" s="11">
        <v>46</v>
      </c>
      <c r="M4" s="11"/>
      <c r="N4" s="11">
        <v>343.21</v>
      </c>
      <c r="O4" s="11">
        <v>689.5</v>
      </c>
      <c r="P4" s="11">
        <f>Table25[[#This Row],[Asset Savings - Charging]]+Table25[[#This Row],[Automation Savings - Charging]]</f>
        <v>1032.71</v>
      </c>
      <c r="Q4" s="11">
        <v>39906</v>
      </c>
      <c r="R4" s="12">
        <f>Table25[[#This Row],[Total Savings - Charging]]/Table25[[#This Row],[Billability Hours - Charging]]</f>
        <v>2.5878564626873154E-2</v>
      </c>
      <c r="S4" s="11"/>
      <c r="T4" s="11">
        <v>4</v>
      </c>
      <c r="U4" s="11"/>
      <c r="V4" s="11">
        <v>2044</v>
      </c>
      <c r="W4" s="11">
        <v>300</v>
      </c>
      <c r="X4" s="11">
        <f>Table25[[#This Row],[Asset Savings - SDC CS&amp;DFE]]+Table25[[#This Row],[Automation Savings - SDC CS&amp;DFE]]</f>
        <v>2344</v>
      </c>
      <c r="Y4" s="11">
        <v>19394</v>
      </c>
      <c r="Z4" s="12">
        <f>Table25[[#This Row],[Total Savings - SDC CS&amp;DFE]]/Table25[[#This Row],[Billability Hours - SDC CS&amp;DFE]]</f>
        <v>0.12086212230586779</v>
      </c>
      <c r="AA4" s="11"/>
      <c r="AB4" s="11">
        <v>4</v>
      </c>
      <c r="AC4" s="11"/>
      <c r="AD4" s="11"/>
      <c r="AE4" s="11">
        <v>195.4</v>
      </c>
      <c r="AF4" s="11">
        <f>Table25[[#This Row],[Asset Savings - SDC Billing&amp;MW]]+Table25[[#This Row],[Automation Savings - SDC Billing&amp;MW]]</f>
        <v>195.4</v>
      </c>
      <c r="AG4" s="11">
        <v>9214.2000000000007</v>
      </c>
      <c r="AH4" s="13">
        <f>Table25[[#This Row],[Total Savings - SDC Billing&amp;MW]]/Table25[[#This Row],[Billability Hours - SDC Billing&amp;MW]]</f>
        <v>2.120639881921382E-2</v>
      </c>
      <c r="AI4" s="14">
        <f>Table25[[#This Row],[Total Savings - Billing]]+Table25[[#This Row],[Total Savings - Charging]]+Table25[[#This Row],[Total Savings - SDC CS&amp;DFE]]+Table25[[#This Row],[Total Savings - SDC Billing&amp;MW]]</f>
        <v>4951.2099999999991</v>
      </c>
      <c r="AJ4" s="14">
        <f>Table25[[#This Row],[Billability Hours - Billing]]+Table25[[#This Row],[Billability Hours - Charging]]+Table25[[#This Row],[Billability Hours - SDC CS&amp;DFE]]+Table25[[#This Row],[Billability Hours - SDC Billing&amp;MW]]</f>
        <v>79228.2</v>
      </c>
      <c r="AK4" s="15">
        <f t="shared" ref="AK4:AK14" si="0">AI4/AJ4</f>
        <v>6.249302647289727E-2</v>
      </c>
    </row>
    <row r="5" spans="1:37" x14ac:dyDescent="0.35">
      <c r="A5" s="9" t="s">
        <v>26</v>
      </c>
      <c r="B5" s="10">
        <v>0.16</v>
      </c>
      <c r="C5" s="11"/>
      <c r="D5" s="11">
        <v>15</v>
      </c>
      <c r="E5" s="11"/>
      <c r="F5" s="11">
        <v>183</v>
      </c>
      <c r="G5" s="11">
        <v>1038</v>
      </c>
      <c r="H5" s="11">
        <f>Table25[[#This Row],[Asset Savings - Billing]]+Table25[[#This Row],[Automation Savings - Billing]]</f>
        <v>1221</v>
      </c>
      <c r="I5" s="11">
        <v>11854</v>
      </c>
      <c r="J5" s="12">
        <f>H5/I5</f>
        <v>0.1030032056689725</v>
      </c>
      <c r="K5" s="12"/>
      <c r="L5" s="11">
        <v>103</v>
      </c>
      <c r="M5" s="12"/>
      <c r="N5" s="11">
        <v>1476.81</v>
      </c>
      <c r="O5" s="11">
        <v>1610.45</v>
      </c>
      <c r="P5" s="11">
        <f>Table25[[#This Row],[Asset Savings - Charging]]+Table25[[#This Row],[Automation Savings - Charging]]</f>
        <v>3087.26</v>
      </c>
      <c r="Q5" s="11">
        <v>44428</v>
      </c>
      <c r="R5" s="12">
        <f>Table25[[#This Row],[Total Savings - Charging]]/Table25[[#This Row],[Billability Hours - Charging]]</f>
        <v>6.9489060952552445E-2</v>
      </c>
      <c r="S5" s="11"/>
      <c r="T5" s="11">
        <v>4</v>
      </c>
      <c r="U5" s="11"/>
      <c r="V5" s="11"/>
      <c r="W5" s="11">
        <v>5366</v>
      </c>
      <c r="X5" s="11">
        <f>Table25[[#This Row],[Asset Savings - SDC CS&amp;DFE]]+Table25[[#This Row],[Automation Savings - SDC CS&amp;DFE]]</f>
        <v>5366</v>
      </c>
      <c r="Y5" s="11">
        <v>21191</v>
      </c>
      <c r="Z5" s="12">
        <f>Table25[[#This Row],[Total Savings - SDC CS&amp;DFE]]/Table25[[#This Row],[Billability Hours - SDC CS&amp;DFE]]</f>
        <v>0.25322070690387427</v>
      </c>
      <c r="AA5" s="11"/>
      <c r="AB5" s="11">
        <v>8</v>
      </c>
      <c r="AC5" s="11"/>
      <c r="AD5" s="11">
        <v>3161</v>
      </c>
      <c r="AE5" s="11">
        <v>165</v>
      </c>
      <c r="AF5" s="11">
        <f>Table25[[#This Row],[Asset Savings - SDC Billing&amp;MW]]+Table25[[#This Row],[Automation Savings - SDC Billing&amp;MW]]</f>
        <v>3326</v>
      </c>
      <c r="AG5" s="11">
        <v>9261.7000000000007</v>
      </c>
      <c r="AH5" s="13">
        <f>Table25[[#This Row],[Total Savings - SDC Billing&amp;MW]]/Table25[[#This Row],[Billability Hours - SDC Billing&amp;MW]]</f>
        <v>0.35911333772417586</v>
      </c>
      <c r="AI5" s="14">
        <f>Table25[[#This Row],[Total Savings - Billing]]+Table25[[#This Row],[Total Savings - Charging]]+Table25[[#This Row],[Total Savings - SDC CS&amp;DFE]]+Table25[[#This Row],[Total Savings - SDC Billing&amp;MW]]</f>
        <v>13000.26</v>
      </c>
      <c r="AJ5" s="14">
        <f>Table25[[#This Row],[Billability Hours - Billing]]+Table25[[#This Row],[Billability Hours - Charging]]+Table25[[#This Row],[Billability Hours - SDC CS&amp;DFE]]+Table25[[#This Row],[Billability Hours - SDC Billing&amp;MW]]</f>
        <v>86734.7</v>
      </c>
      <c r="AK5" s="15">
        <f>AI5/AJ5</f>
        <v>0.14988534000809364</v>
      </c>
    </row>
    <row r="6" spans="1:37" x14ac:dyDescent="0.35">
      <c r="A6" s="9" t="s">
        <v>27</v>
      </c>
      <c r="B6" s="10">
        <v>0.16</v>
      </c>
      <c r="C6" s="11"/>
      <c r="D6" s="11"/>
      <c r="E6" s="11"/>
      <c r="F6" s="11"/>
      <c r="G6" s="11"/>
      <c r="H6" s="11"/>
      <c r="I6" s="11"/>
      <c r="J6" s="12"/>
      <c r="K6" s="12"/>
      <c r="L6" s="12"/>
      <c r="M6" s="12"/>
      <c r="N6" s="11"/>
      <c r="O6" s="11"/>
      <c r="P6" s="11">
        <f>Table25[[#This Row],[Asset Savings - Charging]]+Table25[[#This Row],[Automation Savings - Charging]]</f>
        <v>0</v>
      </c>
      <c r="Q6" s="11"/>
      <c r="R6" s="12"/>
      <c r="S6" s="11"/>
      <c r="T6" s="11"/>
      <c r="U6" s="11"/>
      <c r="V6" s="11"/>
      <c r="W6" s="11"/>
      <c r="X6" s="11">
        <f>Table25[[#This Row],[Asset Savings - SDC CS&amp;DFE]]+Table25[[#This Row],[Automation Savings - SDC CS&amp;DFE]]</f>
        <v>0</v>
      </c>
      <c r="Y6" s="11"/>
      <c r="Z6" s="12"/>
      <c r="AA6" s="11"/>
      <c r="AB6" s="11"/>
      <c r="AC6" s="11"/>
      <c r="AD6" s="11"/>
      <c r="AE6" s="11"/>
      <c r="AF6" s="11"/>
      <c r="AG6" s="11"/>
      <c r="AH6" s="13"/>
      <c r="AI6" s="14">
        <f>Table25[[#This Row],[Total Savings - Billing]]+Table25[[#This Row],[Total Savings - Charging]]+Table25[[#This Row],[Total Savings - SDC CS&amp;DFE]]+Table25[[#This Row],[Total Savings - SDC Billing&amp;MW]]</f>
        <v>0</v>
      </c>
      <c r="AJ6" s="14">
        <f>Table25[[#This Row],[Billability Hours - Billing]]+Table25[[#This Row],[Billability Hours - Charging]]+Table25[[#This Row],[Billability Hours - SDC CS&amp;DFE]]+Table25[[#This Row],[Billability Hours - SDC Billing&amp;MW]]</f>
        <v>0</v>
      </c>
      <c r="AK6" s="15" t="e">
        <f t="shared" si="0"/>
        <v>#DIV/0!</v>
      </c>
    </row>
    <row r="7" spans="1:37" x14ac:dyDescent="0.35">
      <c r="A7" s="9" t="s">
        <v>28</v>
      </c>
      <c r="B7" s="10">
        <v>0.16</v>
      </c>
      <c r="C7" s="11"/>
      <c r="D7" s="11"/>
      <c r="E7" s="11"/>
      <c r="F7" s="11"/>
      <c r="G7" s="11"/>
      <c r="H7" s="11"/>
      <c r="I7" s="11"/>
      <c r="J7" s="12"/>
      <c r="K7" s="12"/>
      <c r="L7" s="12"/>
      <c r="M7" s="12"/>
      <c r="N7" s="11"/>
      <c r="O7" s="11"/>
      <c r="P7" s="11">
        <f>Table25[[#This Row],[Asset Savings - Charging]]+Table25[[#This Row],[Automation Savings - Charging]]</f>
        <v>0</v>
      </c>
      <c r="Q7" s="11"/>
      <c r="R7" s="12"/>
      <c r="S7" s="11"/>
      <c r="T7" s="11"/>
      <c r="U7" s="11"/>
      <c r="V7" s="11"/>
      <c r="W7" s="11"/>
      <c r="X7" s="11">
        <f>Table25[[#This Row],[Asset Savings - SDC CS&amp;DFE]]+Table25[[#This Row],[Automation Savings - SDC CS&amp;DFE]]</f>
        <v>0</v>
      </c>
      <c r="Y7" s="11"/>
      <c r="Z7" s="12"/>
      <c r="AA7" s="11"/>
      <c r="AB7" s="11"/>
      <c r="AC7" s="11"/>
      <c r="AD7" s="11"/>
      <c r="AE7" s="11"/>
      <c r="AF7" s="11"/>
      <c r="AG7" s="11"/>
      <c r="AH7" s="13"/>
      <c r="AI7" s="14">
        <f>Table25[[#This Row],[Total Savings - Billing]]+Table25[[#This Row],[Total Savings - Charging]]+Table25[[#This Row],[Total Savings - SDC CS&amp;DFE]]+Table25[[#This Row],[Total Savings - SDC Billing&amp;MW]]</f>
        <v>0</v>
      </c>
      <c r="AJ7" s="14">
        <f>Table25[[#This Row],[Billability Hours - Billing]]+Table25[[#This Row],[Billability Hours - Charging]]+Table25[[#This Row],[Billability Hours - SDC CS&amp;DFE]]+Table25[[#This Row],[Billability Hours - SDC Billing&amp;MW]]</f>
        <v>0</v>
      </c>
      <c r="AK7" s="15" t="e">
        <f t="shared" si="0"/>
        <v>#DIV/0!</v>
      </c>
    </row>
    <row r="8" spans="1:37" x14ac:dyDescent="0.35">
      <c r="A8" s="9" t="s">
        <v>29</v>
      </c>
      <c r="B8" s="10">
        <v>0.16</v>
      </c>
      <c r="C8" s="11"/>
      <c r="D8" s="11"/>
      <c r="E8" s="11"/>
      <c r="F8" s="11"/>
      <c r="G8" s="11"/>
      <c r="H8" s="11"/>
      <c r="I8" s="11"/>
      <c r="J8" s="12"/>
      <c r="K8" s="12"/>
      <c r="L8" s="12"/>
      <c r="M8" s="12"/>
      <c r="N8" s="11"/>
      <c r="O8" s="11"/>
      <c r="P8" s="11">
        <f>Table25[[#This Row],[Asset Savings - Charging]]+Table25[[#This Row],[Automation Savings - Charging]]</f>
        <v>0</v>
      </c>
      <c r="Q8" s="11"/>
      <c r="R8" s="12"/>
      <c r="S8" s="11"/>
      <c r="T8" s="11"/>
      <c r="U8" s="11"/>
      <c r="V8" s="11"/>
      <c r="W8" s="11"/>
      <c r="X8" s="11">
        <f>Table25[[#This Row],[Asset Savings - SDC CS&amp;DFE]]+Table25[[#This Row],[Automation Savings - SDC CS&amp;DFE]]</f>
        <v>0</v>
      </c>
      <c r="Y8" s="11"/>
      <c r="Z8" s="12"/>
      <c r="AA8" s="11"/>
      <c r="AB8" s="11"/>
      <c r="AC8" s="11"/>
      <c r="AD8" s="11"/>
      <c r="AE8" s="11"/>
      <c r="AF8" s="11"/>
      <c r="AG8" s="11"/>
      <c r="AH8" s="13"/>
      <c r="AI8" s="14">
        <f>Table25[[#This Row],[Total Savings - Billing]]+Table25[[#This Row],[Total Savings - Charging]]+Table25[[#This Row],[Total Savings - SDC CS&amp;DFE]]+Table25[[#This Row],[Total Savings - SDC Billing&amp;MW]]</f>
        <v>0</v>
      </c>
      <c r="AJ8" s="14">
        <f>Table25[[#This Row],[Billability Hours - Billing]]+Table25[[#This Row],[Billability Hours - Charging]]+Table25[[#This Row],[Billability Hours - SDC CS&amp;DFE]]+Table25[[#This Row],[Billability Hours - SDC Billing&amp;MW]]</f>
        <v>0</v>
      </c>
      <c r="AK8" s="15" t="e">
        <f t="shared" si="0"/>
        <v>#DIV/0!</v>
      </c>
    </row>
    <row r="9" spans="1:37" x14ac:dyDescent="0.35">
      <c r="A9" s="9" t="s">
        <v>32</v>
      </c>
      <c r="B9" s="10">
        <v>0.16</v>
      </c>
      <c r="C9" s="11"/>
      <c r="D9" s="11"/>
      <c r="E9" s="11"/>
      <c r="F9" s="11"/>
      <c r="G9" s="11"/>
      <c r="H9" s="11"/>
      <c r="I9" s="11"/>
      <c r="J9" s="12"/>
      <c r="K9" s="12"/>
      <c r="L9" s="12"/>
      <c r="M9" s="12"/>
      <c r="N9" s="11"/>
      <c r="O9" s="11"/>
      <c r="P9" s="11">
        <f>Table25[[#This Row],[Asset Savings - Charging]]+Table25[[#This Row],[Automation Savings - Charging]]</f>
        <v>0</v>
      </c>
      <c r="Q9" s="11"/>
      <c r="R9" s="12"/>
      <c r="S9" s="11"/>
      <c r="T9" s="11"/>
      <c r="U9" s="11"/>
      <c r="V9" s="11"/>
      <c r="W9" s="11"/>
      <c r="X9" s="11">
        <f>Table25[[#This Row],[Asset Savings - SDC CS&amp;DFE]]+Table25[[#This Row],[Automation Savings - SDC CS&amp;DFE]]</f>
        <v>0</v>
      </c>
      <c r="Y9" s="11"/>
      <c r="Z9" s="12"/>
      <c r="AA9" s="11"/>
      <c r="AB9" s="11"/>
      <c r="AC9" s="11"/>
      <c r="AD9" s="11"/>
      <c r="AE9" s="11"/>
      <c r="AF9" s="11"/>
      <c r="AG9" s="11"/>
      <c r="AH9" s="13"/>
      <c r="AI9" s="14">
        <f>Table25[[#This Row],[Total Savings - Billing]]+Table25[[#This Row],[Total Savings - Charging]]+Table25[[#This Row],[Total Savings - SDC CS&amp;DFE]]+Table25[[#This Row],[Total Savings - SDC Billing&amp;MW]]</f>
        <v>0</v>
      </c>
      <c r="AJ9" s="14">
        <f>Table25[[#This Row],[Billability Hours - Billing]]+Table25[[#This Row],[Billability Hours - Charging]]+Table25[[#This Row],[Billability Hours - SDC CS&amp;DFE]]+Table25[[#This Row],[Billability Hours - SDC Billing&amp;MW]]</f>
        <v>0</v>
      </c>
      <c r="AK9" s="15" t="e">
        <f t="shared" si="0"/>
        <v>#DIV/0!</v>
      </c>
    </row>
    <row r="10" spans="1:37" x14ac:dyDescent="0.35">
      <c r="A10" s="43" t="s">
        <v>50</v>
      </c>
      <c r="B10" s="10">
        <v>0.16</v>
      </c>
      <c r="C10" s="44"/>
      <c r="D10" s="44"/>
      <c r="E10" s="44"/>
      <c r="F10" s="44"/>
      <c r="G10" s="44"/>
      <c r="H10" s="11"/>
      <c r="I10" s="44"/>
      <c r="J10" s="12"/>
      <c r="K10" s="12"/>
      <c r="L10" s="12"/>
      <c r="M10" s="12"/>
      <c r="N10" s="11"/>
      <c r="O10" s="11"/>
      <c r="P10" s="11">
        <f>Table25[[#This Row],[Asset Savings - Charging]]+Table25[[#This Row],[Automation Savings - Charging]]</f>
        <v>0</v>
      </c>
      <c r="Q10" s="11"/>
      <c r="R10" s="12"/>
      <c r="S10" s="11"/>
      <c r="T10" s="11"/>
      <c r="U10" s="11"/>
      <c r="V10" s="11"/>
      <c r="W10" s="11"/>
      <c r="X10" s="11">
        <f>Table25[[#This Row],[Asset Savings - SDC CS&amp;DFE]]+Table25[[#This Row],[Automation Savings - SDC CS&amp;DFE]]</f>
        <v>0</v>
      </c>
      <c r="Y10" s="11"/>
      <c r="Z10" s="12"/>
      <c r="AA10" s="44"/>
      <c r="AB10" s="44"/>
      <c r="AC10" s="44"/>
      <c r="AD10" s="44"/>
      <c r="AE10" s="44"/>
      <c r="AF10" s="11"/>
      <c r="AG10" s="44"/>
      <c r="AH10" s="13"/>
      <c r="AI10" s="14">
        <f>Table25[[#This Row],[Total Savings - Billing]]+Table25[[#This Row],[Total Savings - Charging]]+Table25[[#This Row],[Total Savings - SDC CS&amp;DFE]]+Table25[[#This Row],[Total Savings - SDC Billing&amp;MW]]</f>
        <v>0</v>
      </c>
      <c r="AJ10" s="14">
        <f>Table25[[#This Row],[Billability Hours - Billing]]+Table25[[#This Row],[Billability Hours - Charging]]+Table25[[#This Row],[Billability Hours - SDC CS&amp;DFE]]+Table25[[#This Row],[Billability Hours - SDC Billing&amp;MW]]</f>
        <v>0</v>
      </c>
      <c r="AK10" s="15" t="e">
        <f t="shared" si="0"/>
        <v>#DIV/0!</v>
      </c>
    </row>
    <row r="11" spans="1:37" x14ac:dyDescent="0.35">
      <c r="A11" s="9" t="s">
        <v>53</v>
      </c>
      <c r="B11" s="10">
        <v>0.16</v>
      </c>
      <c r="C11" s="11"/>
      <c r="D11" s="11"/>
      <c r="E11" s="11"/>
      <c r="F11" s="11"/>
      <c r="G11" s="11"/>
      <c r="H11" s="11"/>
      <c r="I11" s="11"/>
      <c r="J11" s="12"/>
      <c r="K11" s="12"/>
      <c r="L11" s="12"/>
      <c r="M11" s="12"/>
      <c r="N11" s="11"/>
      <c r="O11" s="11"/>
      <c r="P11" s="11">
        <f>Table25[[#This Row],[Asset Savings - Charging]]+Table25[[#This Row],[Automation Savings - Charging]]</f>
        <v>0</v>
      </c>
      <c r="Q11" s="11"/>
      <c r="R11" s="12"/>
      <c r="S11" s="11"/>
      <c r="T11" s="11"/>
      <c r="U11" s="11"/>
      <c r="V11" s="11"/>
      <c r="W11" s="11"/>
      <c r="X11" s="11">
        <f>Table25[[#This Row],[Asset Savings - SDC CS&amp;DFE]]+Table25[[#This Row],[Automation Savings - SDC CS&amp;DFE]]</f>
        <v>0</v>
      </c>
      <c r="Y11" s="11"/>
      <c r="Z11" s="12"/>
      <c r="AA11" s="11"/>
      <c r="AB11" s="11"/>
      <c r="AC11" s="11"/>
      <c r="AD11" s="11"/>
      <c r="AE11" s="11"/>
      <c r="AF11" s="11"/>
      <c r="AG11" s="11"/>
      <c r="AH11" s="13"/>
      <c r="AI11" s="14">
        <f>Table25[[#This Row],[Total Savings - Billing]]+Table25[[#This Row],[Total Savings - Charging]]+Table25[[#This Row],[Total Savings - SDC CS&amp;DFE]]+Table25[[#This Row],[Total Savings - SDC Billing&amp;MW]]</f>
        <v>0</v>
      </c>
      <c r="AJ11" s="14">
        <f>Table25[[#This Row],[Billability Hours - Billing]]+Table25[[#This Row],[Billability Hours - Charging]]+Table25[[#This Row],[Billability Hours - SDC CS&amp;DFE]]+Table25[[#This Row],[Billability Hours - SDC Billing&amp;MW]]</f>
        <v>0</v>
      </c>
      <c r="AK11" s="15" t="e">
        <f t="shared" si="0"/>
        <v>#DIV/0!</v>
      </c>
    </row>
    <row r="12" spans="1:37" x14ac:dyDescent="0.35">
      <c r="A12" s="9" t="s">
        <v>54</v>
      </c>
      <c r="B12" s="10">
        <v>0.16</v>
      </c>
      <c r="C12" s="11"/>
      <c r="D12" s="11"/>
      <c r="E12" s="11"/>
      <c r="F12" s="11"/>
      <c r="G12" s="11"/>
      <c r="H12" s="11"/>
      <c r="I12" s="11"/>
      <c r="J12" s="12"/>
      <c r="K12" s="12"/>
      <c r="L12" s="12"/>
      <c r="M12" s="12"/>
      <c r="N12" s="11"/>
      <c r="O12" s="11"/>
      <c r="P12" s="11">
        <f>Table25[[#This Row],[Asset Savings - Charging]]+Table25[[#This Row],[Automation Savings - Charging]]</f>
        <v>0</v>
      </c>
      <c r="Q12" s="11"/>
      <c r="R12" s="12"/>
      <c r="S12" s="11"/>
      <c r="T12" s="11"/>
      <c r="U12" s="11"/>
      <c r="V12" s="11"/>
      <c r="W12" s="11"/>
      <c r="X12" s="11">
        <f>Table25[[#This Row],[Asset Savings - SDC CS&amp;DFE]]+Table25[[#This Row],[Automation Savings - SDC CS&amp;DFE]]</f>
        <v>0</v>
      </c>
      <c r="Y12" s="11"/>
      <c r="Z12" s="12"/>
      <c r="AA12" s="11"/>
      <c r="AB12" s="11"/>
      <c r="AC12" s="11"/>
      <c r="AD12" s="11"/>
      <c r="AE12" s="11"/>
      <c r="AF12" s="14"/>
      <c r="AG12" s="11"/>
      <c r="AH12" s="13"/>
      <c r="AI12" s="14">
        <f>Table25[[#This Row],[Total Savings - Billing]]+Table25[[#This Row],[Total Savings - Charging]]+Table25[[#This Row],[Total Savings - SDC CS&amp;DFE]]+Table25[[#This Row],[Total Savings - SDC Billing&amp;MW]]</f>
        <v>0</v>
      </c>
      <c r="AJ12" s="14">
        <f>Table25[[#This Row],[Billability Hours - Billing]]+Table25[[#This Row],[Billability Hours - Charging]]+Table25[[#This Row],[Billability Hours - SDC CS&amp;DFE]]+Table25[[#This Row],[Billability Hours - SDC Billing&amp;MW]]</f>
        <v>0</v>
      </c>
      <c r="AK12" s="15" t="e">
        <f t="shared" si="0"/>
        <v>#DIV/0!</v>
      </c>
    </row>
    <row r="13" spans="1:37" x14ac:dyDescent="0.35">
      <c r="A13" s="9" t="s">
        <v>55</v>
      </c>
      <c r="B13" s="10">
        <v>0.16</v>
      </c>
      <c r="C13" s="11"/>
      <c r="D13" s="11"/>
      <c r="E13" s="11"/>
      <c r="F13" s="11"/>
      <c r="G13" s="11"/>
      <c r="H13" s="11"/>
      <c r="I13" s="11"/>
      <c r="J13" s="12"/>
      <c r="K13" s="12"/>
      <c r="L13" s="12"/>
      <c r="M13" s="12"/>
      <c r="N13" s="11"/>
      <c r="O13" s="11"/>
      <c r="P13" s="11">
        <f>Table25[[#This Row],[Asset Savings - Charging]]+Table25[[#This Row],[Automation Savings - Charging]]</f>
        <v>0</v>
      </c>
      <c r="Q13" s="11"/>
      <c r="R13" s="12"/>
      <c r="S13" s="11"/>
      <c r="T13" s="11"/>
      <c r="U13" s="11"/>
      <c r="V13" s="11"/>
      <c r="W13" s="11"/>
      <c r="X13" s="11">
        <f>Table25[[#This Row],[Asset Savings - SDC CS&amp;DFE]]+Table25[[#This Row],[Automation Savings - SDC CS&amp;DFE]]</f>
        <v>0</v>
      </c>
      <c r="Y13" s="11"/>
      <c r="Z13" s="12"/>
      <c r="AA13" s="11"/>
      <c r="AB13" s="11"/>
      <c r="AC13" s="11"/>
      <c r="AD13" s="11"/>
      <c r="AE13" s="11"/>
      <c r="AF13" s="11"/>
      <c r="AG13" s="11"/>
      <c r="AH13" s="13"/>
      <c r="AI13" s="14">
        <f>Table25[[#This Row],[Total Savings - Billing]]+Table25[[#This Row],[Total Savings - Charging]]+Table25[[#This Row],[Total Savings - SDC CS&amp;DFE]]+Table25[[#This Row],[Total Savings - SDC Billing&amp;MW]]</f>
        <v>0</v>
      </c>
      <c r="AJ13" s="14">
        <f>Table25[[#This Row],[Billability Hours - Billing]]+Table25[[#This Row],[Billability Hours - Charging]]+Table25[[#This Row],[Billability Hours - SDC CS&amp;DFE]]+Table25[[#This Row],[Billability Hours - SDC Billing&amp;MW]]</f>
        <v>0</v>
      </c>
      <c r="AK13" s="15" t="e">
        <f t="shared" si="0"/>
        <v>#DIV/0!</v>
      </c>
    </row>
    <row r="14" spans="1:37" x14ac:dyDescent="0.35">
      <c r="A14" s="9" t="s">
        <v>56</v>
      </c>
      <c r="B14" s="10">
        <v>0.16</v>
      </c>
      <c r="C14" s="11"/>
      <c r="D14" s="11"/>
      <c r="E14" s="11"/>
      <c r="F14" s="11"/>
      <c r="G14" s="11"/>
      <c r="H14" s="11"/>
      <c r="I14" s="11"/>
      <c r="J14" s="12"/>
      <c r="K14" s="12"/>
      <c r="L14" s="12"/>
      <c r="M14" s="12"/>
      <c r="N14" s="11"/>
      <c r="O14" s="11"/>
      <c r="P14" s="11">
        <f>Table25[[#This Row],[Asset Savings - Charging]]+Table25[[#This Row],[Automation Savings - Charging]]</f>
        <v>0</v>
      </c>
      <c r="Q14" s="11"/>
      <c r="R14" s="12"/>
      <c r="S14" s="11"/>
      <c r="T14" s="11"/>
      <c r="U14" s="11"/>
      <c r="V14" s="11"/>
      <c r="W14" s="11"/>
      <c r="X14" s="11">
        <f>Table25[[#This Row],[Asset Savings - SDC CS&amp;DFE]]+Table25[[#This Row],[Automation Savings - SDC CS&amp;DFE]]</f>
        <v>0</v>
      </c>
      <c r="Y14" s="11"/>
      <c r="Z14" s="12"/>
      <c r="AA14" s="11"/>
      <c r="AB14" s="11"/>
      <c r="AC14" s="11"/>
      <c r="AD14" s="11"/>
      <c r="AE14" s="11"/>
      <c r="AF14" s="11"/>
      <c r="AG14" s="11"/>
      <c r="AH14" s="13"/>
      <c r="AI14" s="14">
        <f>Table25[[#This Row],[Total Savings - Billing]]+Table25[[#This Row],[Total Savings - Charging]]+Table25[[#This Row],[Total Savings - SDC CS&amp;DFE]]+Table25[[#This Row],[Total Savings - SDC Billing&amp;MW]]</f>
        <v>0</v>
      </c>
      <c r="AJ14" s="14">
        <f>Table25[[#This Row],[Billability Hours - Billing]]+Table25[[#This Row],[Billability Hours - Charging]]+Table25[[#This Row],[Billability Hours - SDC CS&amp;DFE]]+Table25[[#This Row],[Billability Hours - SDC Billing&amp;MW]]</f>
        <v>0</v>
      </c>
      <c r="AK14" s="15" t="e">
        <f t="shared" si="0"/>
        <v>#DIV/0!</v>
      </c>
    </row>
    <row r="15" spans="1:37" x14ac:dyDescent="0.35">
      <c r="A15" s="16" t="s">
        <v>30</v>
      </c>
      <c r="B15" s="10">
        <v>0.16</v>
      </c>
      <c r="C15" s="17">
        <f>SUM(C3:C14)</f>
        <v>21</v>
      </c>
      <c r="D15" s="17">
        <f>SUM(D3:D14)</f>
        <v>34</v>
      </c>
      <c r="E15" s="17">
        <f>E3</f>
        <v>0</v>
      </c>
      <c r="F15" s="50">
        <f>SUM(F3:F14)</f>
        <v>490.5</v>
      </c>
      <c r="G15" s="50">
        <f>SUM(G3:G14)</f>
        <v>2167.98</v>
      </c>
      <c r="H15" s="21">
        <f>SUM(H3:H14)</f>
        <v>2658.48</v>
      </c>
      <c r="I15" s="21">
        <f>SUM(I3:I14)</f>
        <v>32208.75</v>
      </c>
      <c r="J15" s="22">
        <f t="shared" ref="J15" si="1">H15/I15</f>
        <v>8.2539061590406332E-2</v>
      </c>
      <c r="K15" s="22"/>
      <c r="L15" s="22"/>
      <c r="M15" s="22"/>
      <c r="N15" s="50">
        <f>SUM(N3:N14)</f>
        <v>4900.7199999999993</v>
      </c>
      <c r="O15" s="50">
        <f>SUM(O3:O14)</f>
        <v>3380.3</v>
      </c>
      <c r="P15" s="21">
        <f>SUM(P3:P14)</f>
        <v>8281.02</v>
      </c>
      <c r="Q15" s="21">
        <f>SUM(Q3:Q14)</f>
        <v>121203</v>
      </c>
      <c r="R15" s="22">
        <f t="shared" ref="R15" si="2">P15/Q15</f>
        <v>6.8323556347615166E-2</v>
      </c>
      <c r="S15" s="11"/>
      <c r="T15" s="11"/>
      <c r="U15" s="11"/>
      <c r="V15" s="50">
        <f>SUM(V3:V14)</f>
        <v>2044</v>
      </c>
      <c r="W15" s="50">
        <f>SUM(W3:W14)</f>
        <v>7142</v>
      </c>
      <c r="X15" s="21">
        <f>SUM(X3:X14)</f>
        <v>9186</v>
      </c>
      <c r="Y15" s="21">
        <f>SUM(Y3:Y14)</f>
        <v>58630</v>
      </c>
      <c r="Z15" s="22">
        <f t="shared" ref="Z15" si="3">X15/Y15</f>
        <v>0.15667746887259082</v>
      </c>
      <c r="AA15" s="17">
        <f>SUM(AA3:AA14)</f>
        <v>0</v>
      </c>
      <c r="AB15" s="17">
        <f>SUM(AB3:AB14)</f>
        <v>12</v>
      </c>
      <c r="AC15" s="17">
        <f>AC8</f>
        <v>0</v>
      </c>
      <c r="AD15" s="50">
        <f>SUM(AD3:AD14)</f>
        <v>3161</v>
      </c>
      <c r="AE15" s="50">
        <f>SUM(AE3:AE14)</f>
        <v>360.4</v>
      </c>
      <c r="AF15" s="21">
        <f>SUM(AF3:AF14)</f>
        <v>3521.4</v>
      </c>
      <c r="AG15" s="21">
        <f>SUM(AG3:AG14)</f>
        <v>26486.54</v>
      </c>
      <c r="AH15" s="22">
        <f t="shared" ref="AH15" si="4">AF15/AG15</f>
        <v>0.1329505477121587</v>
      </c>
      <c r="AI15" s="48">
        <f>SUM(AI3:AI14)</f>
        <v>23646.9</v>
      </c>
      <c r="AJ15" s="48">
        <f>SUM(AJ3:AJ14)</f>
        <v>238528.28999999998</v>
      </c>
      <c r="AK15" s="49">
        <f>AI15/AJ15</f>
        <v>9.9136668442975903E-2</v>
      </c>
    </row>
  </sheetData>
  <mergeCells count="5">
    <mergeCell ref="C1:J1"/>
    <mergeCell ref="AA1:AH1"/>
    <mergeCell ref="AI1:AK1"/>
    <mergeCell ref="K1:R1"/>
    <mergeCell ref="S1:Z1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0074-8844-45CC-9FD1-64A77FC49AA4}">
  <dimension ref="A1:D41"/>
  <sheetViews>
    <sheetView topLeftCell="A18" workbookViewId="0">
      <selection activeCell="A35" sqref="A35"/>
    </sheetView>
  </sheetViews>
  <sheetFormatPr defaultRowHeight="14.5" x14ac:dyDescent="0.35"/>
  <cols>
    <col min="1" max="1" width="25" bestFit="1" customWidth="1"/>
    <col min="2" max="2" width="25.81640625" bestFit="1" customWidth="1"/>
    <col min="3" max="3" width="18.26953125" bestFit="1" customWidth="1"/>
  </cols>
  <sheetData>
    <row r="1" spans="1:4" x14ac:dyDescent="0.35">
      <c r="A1" t="s">
        <v>38</v>
      </c>
      <c r="B1" t="s">
        <v>41</v>
      </c>
      <c r="C1" t="s">
        <v>37</v>
      </c>
    </row>
    <row r="2" spans="1:4" x14ac:dyDescent="0.35">
      <c r="A2" s="90" t="s">
        <v>329</v>
      </c>
      <c r="B2" s="90" t="s">
        <v>330</v>
      </c>
      <c r="C2" s="90" t="s">
        <v>311</v>
      </c>
      <c r="D2" s="90" t="s">
        <v>24</v>
      </c>
    </row>
    <row r="3" spans="1:4" x14ac:dyDescent="0.35">
      <c r="A3" s="90" t="s">
        <v>262</v>
      </c>
      <c r="B3" t="s">
        <v>235</v>
      </c>
      <c r="C3" t="s">
        <v>0</v>
      </c>
      <c r="D3" s="90" t="s">
        <v>24</v>
      </c>
    </row>
    <row r="4" spans="1:4" x14ac:dyDescent="0.35">
      <c r="A4" s="90" t="s">
        <v>49</v>
      </c>
      <c r="B4" t="s">
        <v>46</v>
      </c>
      <c r="C4" t="s">
        <v>0</v>
      </c>
      <c r="D4" s="90" t="s">
        <v>24</v>
      </c>
    </row>
    <row r="5" spans="1:4" x14ac:dyDescent="0.35">
      <c r="A5" s="35" t="s">
        <v>331</v>
      </c>
      <c r="B5" t="s">
        <v>335</v>
      </c>
      <c r="C5" t="s">
        <v>1</v>
      </c>
      <c r="D5" s="90" t="s">
        <v>24</v>
      </c>
    </row>
    <row r="6" spans="1:4" x14ac:dyDescent="0.35">
      <c r="A6" s="35" t="s">
        <v>227</v>
      </c>
      <c r="B6" t="s">
        <v>336</v>
      </c>
      <c r="C6" t="s">
        <v>1</v>
      </c>
      <c r="D6" s="90" t="s">
        <v>24</v>
      </c>
    </row>
    <row r="7" spans="1:4" x14ac:dyDescent="0.35">
      <c r="A7" s="35" t="s">
        <v>332</v>
      </c>
      <c r="B7" t="s">
        <v>336</v>
      </c>
      <c r="C7" t="s">
        <v>1</v>
      </c>
      <c r="D7" s="90" t="s">
        <v>24</v>
      </c>
    </row>
    <row r="8" spans="1:4" x14ac:dyDescent="0.35">
      <c r="A8" s="35" t="s">
        <v>333</v>
      </c>
      <c r="B8" t="s">
        <v>79</v>
      </c>
      <c r="C8" t="s">
        <v>1</v>
      </c>
      <c r="D8" s="90" t="s">
        <v>24</v>
      </c>
    </row>
    <row r="9" spans="1:4" x14ac:dyDescent="0.35">
      <c r="A9" s="35" t="s">
        <v>334</v>
      </c>
      <c r="B9" t="s">
        <v>233</v>
      </c>
      <c r="C9" t="s">
        <v>1</v>
      </c>
      <c r="D9" s="90" t="s">
        <v>24</v>
      </c>
    </row>
    <row r="10" spans="1:4" x14ac:dyDescent="0.35">
      <c r="A10" s="35" t="s">
        <v>259</v>
      </c>
      <c r="C10" t="s">
        <v>1</v>
      </c>
      <c r="D10" s="90" t="s">
        <v>25</v>
      </c>
    </row>
    <row r="11" spans="1:4" x14ac:dyDescent="0.35">
      <c r="A11" s="35" t="s">
        <v>84</v>
      </c>
      <c r="C11" t="s">
        <v>1</v>
      </c>
      <c r="D11" s="90" t="s">
        <v>25</v>
      </c>
    </row>
    <row r="12" spans="1:4" x14ac:dyDescent="0.35">
      <c r="A12" s="35" t="s">
        <v>337</v>
      </c>
      <c r="C12" t="s">
        <v>1</v>
      </c>
      <c r="D12" s="90" t="s">
        <v>25</v>
      </c>
    </row>
    <row r="13" spans="1:4" x14ac:dyDescent="0.35">
      <c r="A13" s="35" t="s">
        <v>338</v>
      </c>
      <c r="C13" t="s">
        <v>1</v>
      </c>
      <c r="D13" s="90" t="s">
        <v>25</v>
      </c>
    </row>
    <row r="14" spans="1:4" x14ac:dyDescent="0.35">
      <c r="A14" s="35" t="s">
        <v>339</v>
      </c>
      <c r="C14" t="s">
        <v>1</v>
      </c>
      <c r="D14" s="90" t="s">
        <v>25</v>
      </c>
    </row>
    <row r="15" spans="1:4" x14ac:dyDescent="0.35">
      <c r="A15" s="90" t="s">
        <v>340</v>
      </c>
      <c r="C15" s="90" t="s">
        <v>311</v>
      </c>
      <c r="D15" s="90" t="s">
        <v>25</v>
      </c>
    </row>
    <row r="16" spans="1:4" x14ac:dyDescent="0.35">
      <c r="A16" s="90" t="s">
        <v>341</v>
      </c>
      <c r="C16" s="90" t="s">
        <v>311</v>
      </c>
      <c r="D16" s="90" t="s">
        <v>25</v>
      </c>
    </row>
    <row r="17" spans="1:4" x14ac:dyDescent="0.35">
      <c r="A17" s="35" t="s">
        <v>342</v>
      </c>
      <c r="C17" t="s">
        <v>0</v>
      </c>
      <c r="D17" s="90" t="s">
        <v>25</v>
      </c>
    </row>
    <row r="18" spans="1:4" x14ac:dyDescent="0.35">
      <c r="A18" s="35" t="s">
        <v>343</v>
      </c>
      <c r="C18" t="s">
        <v>0</v>
      </c>
      <c r="D18" s="90" t="s">
        <v>25</v>
      </c>
    </row>
    <row r="19" spans="1:4" x14ac:dyDescent="0.35">
      <c r="A19" s="35" t="s">
        <v>344</v>
      </c>
      <c r="C19" t="s">
        <v>0</v>
      </c>
      <c r="D19" s="90" t="s">
        <v>25</v>
      </c>
    </row>
    <row r="20" spans="1:4" x14ac:dyDescent="0.35">
      <c r="A20" s="35" t="s">
        <v>44</v>
      </c>
      <c r="C20" t="s">
        <v>0</v>
      </c>
      <c r="D20" s="90" t="s">
        <v>25</v>
      </c>
    </row>
    <row r="21" spans="1:4" x14ac:dyDescent="0.35">
      <c r="A21" s="35" t="s">
        <v>345</v>
      </c>
      <c r="C21" t="s">
        <v>0</v>
      </c>
      <c r="D21" s="90" t="s">
        <v>25</v>
      </c>
    </row>
    <row r="22" spans="1:4" x14ac:dyDescent="0.35">
      <c r="A22" s="90" t="s">
        <v>346</v>
      </c>
      <c r="C22" t="s">
        <v>348</v>
      </c>
      <c r="D22" s="90" t="s">
        <v>25</v>
      </c>
    </row>
    <row r="23" spans="1:4" x14ac:dyDescent="0.35">
      <c r="A23" s="90" t="s">
        <v>347</v>
      </c>
      <c r="C23" t="s">
        <v>348</v>
      </c>
      <c r="D23" s="90" t="s">
        <v>25</v>
      </c>
    </row>
    <row r="24" spans="1:4" x14ac:dyDescent="0.35">
      <c r="A24" s="90" t="s">
        <v>342</v>
      </c>
      <c r="C24" t="s">
        <v>0</v>
      </c>
      <c r="D24" t="s">
        <v>26</v>
      </c>
    </row>
    <row r="25" spans="1:4" x14ac:dyDescent="0.35">
      <c r="A25" s="90" t="s">
        <v>44</v>
      </c>
      <c r="C25" t="s">
        <v>0</v>
      </c>
      <c r="D25" t="s">
        <v>26</v>
      </c>
    </row>
    <row r="26" spans="1:4" x14ac:dyDescent="0.35">
      <c r="A26" s="90" t="s">
        <v>349</v>
      </c>
      <c r="C26" t="s">
        <v>0</v>
      </c>
      <c r="D26" t="s">
        <v>26</v>
      </c>
    </row>
    <row r="27" spans="1:4" x14ac:dyDescent="0.35">
      <c r="A27" s="90" t="s">
        <v>241</v>
      </c>
      <c r="C27" t="s">
        <v>0</v>
      </c>
      <c r="D27" t="s">
        <v>26</v>
      </c>
    </row>
    <row r="28" spans="1:4" x14ac:dyDescent="0.35">
      <c r="A28" s="90" t="s">
        <v>345</v>
      </c>
      <c r="C28" t="s">
        <v>0</v>
      </c>
      <c r="D28" t="s">
        <v>26</v>
      </c>
    </row>
    <row r="29" spans="1:4" x14ac:dyDescent="0.35">
      <c r="A29" s="90" t="s">
        <v>347</v>
      </c>
      <c r="C29" t="s">
        <v>348</v>
      </c>
      <c r="D29" t="s">
        <v>26</v>
      </c>
    </row>
    <row r="30" spans="1:4" x14ac:dyDescent="0.35">
      <c r="A30" s="90" t="s">
        <v>346</v>
      </c>
      <c r="C30" t="s">
        <v>348</v>
      </c>
      <c r="D30" t="s">
        <v>26</v>
      </c>
    </row>
    <row r="31" spans="1:4" x14ac:dyDescent="0.35">
      <c r="A31" s="90" t="s">
        <v>350</v>
      </c>
      <c r="C31" t="s">
        <v>348</v>
      </c>
      <c r="D31" t="s">
        <v>26</v>
      </c>
    </row>
    <row r="32" spans="1:4" x14ac:dyDescent="0.35">
      <c r="A32" s="90" t="s">
        <v>48</v>
      </c>
      <c r="C32" t="s">
        <v>1</v>
      </c>
      <c r="D32" t="s">
        <v>26</v>
      </c>
    </row>
    <row r="33" spans="1:4" x14ac:dyDescent="0.35">
      <c r="A33" s="90" t="s">
        <v>258</v>
      </c>
      <c r="C33" t="s">
        <v>1</v>
      </c>
      <c r="D33" t="s">
        <v>26</v>
      </c>
    </row>
    <row r="34" spans="1:4" x14ac:dyDescent="0.35">
      <c r="A34" s="35" t="s">
        <v>333</v>
      </c>
      <c r="C34" t="s">
        <v>1</v>
      </c>
      <c r="D34" t="s">
        <v>26</v>
      </c>
    </row>
    <row r="35" spans="1:4" x14ac:dyDescent="0.35">
      <c r="A35" s="35" t="s">
        <v>351</v>
      </c>
      <c r="C35" t="s">
        <v>1</v>
      </c>
      <c r="D35" t="s">
        <v>26</v>
      </c>
    </row>
    <row r="36" spans="1:4" x14ac:dyDescent="0.35">
      <c r="A36" s="35" t="s">
        <v>352</v>
      </c>
      <c r="C36" t="s">
        <v>1</v>
      </c>
      <c r="D36" t="s">
        <v>26</v>
      </c>
    </row>
    <row r="37" spans="1:4" x14ac:dyDescent="0.35">
      <c r="A37" s="35" t="s">
        <v>340</v>
      </c>
      <c r="C37" s="90" t="s">
        <v>311</v>
      </c>
      <c r="D37" t="s">
        <v>26</v>
      </c>
    </row>
    <row r="38" spans="1:4" x14ac:dyDescent="0.35">
      <c r="A38" s="35" t="s">
        <v>353</v>
      </c>
      <c r="C38" s="90" t="s">
        <v>311</v>
      </c>
      <c r="D38" t="s">
        <v>26</v>
      </c>
    </row>
    <row r="39" spans="1:4" x14ac:dyDescent="0.35">
      <c r="A39" s="35" t="s">
        <v>354</v>
      </c>
      <c r="C39" s="90" t="s">
        <v>311</v>
      </c>
      <c r="D39" t="s">
        <v>26</v>
      </c>
    </row>
    <row r="40" spans="1:4" x14ac:dyDescent="0.35">
      <c r="A40" s="35" t="s">
        <v>355</v>
      </c>
      <c r="C40" s="90" t="s">
        <v>311</v>
      </c>
      <c r="D40" t="s">
        <v>26</v>
      </c>
    </row>
    <row r="41" spans="1:4" x14ac:dyDescent="0.35">
      <c r="A41" s="35" t="s">
        <v>356</v>
      </c>
      <c r="C41" s="90" t="s">
        <v>311</v>
      </c>
      <c r="D41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0F76-C7D8-4A52-9F25-AA213308E62E}">
  <sheetPr codeName="Sheet3"/>
  <dimension ref="A1:F8"/>
  <sheetViews>
    <sheetView zoomScale="80" zoomScaleNormal="80" workbookViewId="0">
      <selection activeCell="F3" sqref="F3:F7"/>
    </sheetView>
  </sheetViews>
  <sheetFormatPr defaultRowHeight="14.5" x14ac:dyDescent="0.35"/>
  <cols>
    <col min="1" max="1" width="88.6328125" bestFit="1" customWidth="1"/>
    <col min="2" max="2" width="18.26953125" customWidth="1"/>
    <col min="3" max="4" width="8.7265625" hidden="1" customWidth="1"/>
    <col min="5" max="5" width="63.1796875" customWidth="1"/>
  </cols>
  <sheetData>
    <row r="1" spans="1:6" x14ac:dyDescent="0.35">
      <c r="A1" s="87" t="s">
        <v>224</v>
      </c>
      <c r="B1" s="87" t="s">
        <v>226</v>
      </c>
      <c r="C1" s="88"/>
      <c r="D1" s="88"/>
      <c r="E1" s="86" t="s">
        <v>225</v>
      </c>
      <c r="F1" s="86" t="s">
        <v>226</v>
      </c>
    </row>
    <row r="2" spans="1:6" hidden="1" x14ac:dyDescent="0.35">
      <c r="A2" s="57" t="s">
        <v>87</v>
      </c>
      <c r="B2" s="57" t="s">
        <v>88</v>
      </c>
      <c r="C2" s="38"/>
      <c r="D2" s="38"/>
      <c r="E2" s="57" t="s">
        <v>87</v>
      </c>
      <c r="F2" s="38"/>
    </row>
    <row r="3" spans="1:6" x14ac:dyDescent="0.35">
      <c r="A3" s="89" t="s">
        <v>73</v>
      </c>
      <c r="B3" s="38">
        <v>13874.570000000012</v>
      </c>
      <c r="C3" s="38"/>
      <c r="D3" s="38"/>
      <c r="E3" s="89" t="s">
        <v>296</v>
      </c>
      <c r="F3" s="38">
        <v>1800</v>
      </c>
    </row>
    <row r="4" spans="1:6" x14ac:dyDescent="0.35">
      <c r="A4" s="89" t="s">
        <v>249</v>
      </c>
      <c r="B4" s="38">
        <v>3230.8900000000012</v>
      </c>
      <c r="C4" s="38"/>
      <c r="D4" s="38"/>
      <c r="E4" s="89" t="s">
        <v>75</v>
      </c>
      <c r="F4" s="38">
        <v>650</v>
      </c>
    </row>
    <row r="5" spans="1:6" x14ac:dyDescent="0.35">
      <c r="A5" s="89" t="s">
        <v>248</v>
      </c>
      <c r="B5" s="38">
        <v>2950</v>
      </c>
      <c r="C5" s="38"/>
      <c r="D5" s="38"/>
      <c r="E5" s="89" t="s">
        <v>297</v>
      </c>
      <c r="F5" s="38">
        <v>551</v>
      </c>
    </row>
    <row r="6" spans="1:6" x14ac:dyDescent="0.35">
      <c r="A6" s="89" t="s">
        <v>266</v>
      </c>
      <c r="B6" s="38">
        <v>2767.7200000000003</v>
      </c>
      <c r="C6" s="38"/>
      <c r="D6" s="38"/>
      <c r="E6" s="89" t="s">
        <v>252</v>
      </c>
      <c r="F6" s="38">
        <v>532.40000000000009</v>
      </c>
    </row>
    <row r="7" spans="1:6" x14ac:dyDescent="0.35">
      <c r="A7" s="89" t="s">
        <v>250</v>
      </c>
      <c r="B7" s="38">
        <v>2220</v>
      </c>
      <c r="C7" s="38"/>
      <c r="D7" s="38"/>
      <c r="E7" s="89" t="s">
        <v>298</v>
      </c>
      <c r="F7" s="38">
        <v>514.5</v>
      </c>
    </row>
    <row r="8" spans="1:6" hidden="1" x14ac:dyDescent="0.35">
      <c r="A8" s="35" t="s">
        <v>251</v>
      </c>
      <c r="B8">
        <v>1390.8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60C1-84CA-484B-8913-202D6EF3E784}">
  <sheetPr codeName="Sheet4"/>
  <dimension ref="A1:D94"/>
  <sheetViews>
    <sheetView workbookViewId="0">
      <selection sqref="A1:D1"/>
    </sheetView>
  </sheetViews>
  <sheetFormatPr defaultRowHeight="14.5" x14ac:dyDescent="0.35"/>
  <cols>
    <col min="1" max="1" width="6.7265625" bestFit="1" customWidth="1"/>
    <col min="2" max="2" width="81" bestFit="1" customWidth="1"/>
    <col min="3" max="3" width="11.7265625" bestFit="1" customWidth="1"/>
    <col min="4" max="4" width="20.08984375" bestFit="1" customWidth="1"/>
  </cols>
  <sheetData>
    <row r="1" spans="1:4" x14ac:dyDescent="0.35">
      <c r="A1" s="115" t="s">
        <v>205</v>
      </c>
      <c r="B1" s="115"/>
      <c r="C1" s="115"/>
      <c r="D1" s="115"/>
    </row>
    <row r="2" spans="1:4" x14ac:dyDescent="0.35">
      <c r="A2" s="61" t="s">
        <v>90</v>
      </c>
      <c r="B2" s="62" t="s">
        <v>91</v>
      </c>
      <c r="C2" s="62" t="s">
        <v>92</v>
      </c>
      <c r="D2" s="62" t="s">
        <v>93</v>
      </c>
    </row>
    <row r="3" spans="1:4" x14ac:dyDescent="0.35">
      <c r="A3" s="63">
        <v>3631</v>
      </c>
      <c r="B3" s="59" t="s">
        <v>94</v>
      </c>
      <c r="C3" s="59" t="s">
        <v>95</v>
      </c>
      <c r="D3" s="59" t="s">
        <v>96</v>
      </c>
    </row>
    <row r="4" spans="1:4" x14ac:dyDescent="0.35">
      <c r="A4" s="63">
        <v>51429</v>
      </c>
      <c r="B4" s="59" t="s">
        <v>97</v>
      </c>
      <c r="C4" s="59" t="s">
        <v>98</v>
      </c>
      <c r="D4" s="59" t="s">
        <v>96</v>
      </c>
    </row>
    <row r="5" spans="1:4" x14ac:dyDescent="0.35">
      <c r="A5" s="63">
        <v>51870</v>
      </c>
      <c r="B5" s="59" t="s">
        <v>99</v>
      </c>
      <c r="C5" s="59" t="s">
        <v>95</v>
      </c>
      <c r="D5" s="59" t="s">
        <v>96</v>
      </c>
    </row>
    <row r="6" spans="1:4" x14ac:dyDescent="0.35">
      <c r="A6" s="63">
        <v>52203</v>
      </c>
      <c r="B6" s="59" t="s">
        <v>100</v>
      </c>
      <c r="C6" s="59" t="s">
        <v>101</v>
      </c>
      <c r="D6" s="59" t="s">
        <v>102</v>
      </c>
    </row>
    <row r="7" spans="1:4" x14ac:dyDescent="0.35">
      <c r="A7" s="63">
        <v>52222</v>
      </c>
      <c r="B7" s="59" t="s">
        <v>103</v>
      </c>
      <c r="C7" s="59" t="s">
        <v>101</v>
      </c>
      <c r="D7" s="59" t="s">
        <v>102</v>
      </c>
    </row>
    <row r="8" spans="1:4" x14ac:dyDescent="0.35">
      <c r="A8" s="63">
        <v>52224</v>
      </c>
      <c r="B8" s="59" t="s">
        <v>104</v>
      </c>
      <c r="C8" s="59" t="s">
        <v>105</v>
      </c>
      <c r="D8" s="59" t="s">
        <v>102</v>
      </c>
    </row>
    <row r="9" spans="1:4" x14ac:dyDescent="0.35">
      <c r="A9" s="63">
        <v>53326</v>
      </c>
      <c r="B9" s="59" t="s">
        <v>106</v>
      </c>
      <c r="C9" s="59" t="s">
        <v>95</v>
      </c>
      <c r="D9" s="59" t="s">
        <v>107</v>
      </c>
    </row>
    <row r="10" spans="1:4" x14ac:dyDescent="0.35">
      <c r="A10" s="63">
        <v>53754</v>
      </c>
      <c r="B10" s="59" t="s">
        <v>108</v>
      </c>
      <c r="C10" s="59" t="s">
        <v>95</v>
      </c>
      <c r="D10" s="59" t="s">
        <v>96</v>
      </c>
    </row>
    <row r="11" spans="1:4" x14ac:dyDescent="0.35">
      <c r="A11" s="63">
        <v>54064</v>
      </c>
      <c r="B11" s="59" t="s">
        <v>109</v>
      </c>
      <c r="C11" s="59" t="s">
        <v>110</v>
      </c>
      <c r="D11" s="59" t="s">
        <v>107</v>
      </c>
    </row>
    <row r="12" spans="1:4" x14ac:dyDescent="0.35">
      <c r="A12" s="63">
        <v>54159</v>
      </c>
      <c r="B12" s="59" t="s">
        <v>111</v>
      </c>
      <c r="C12" s="59" t="s">
        <v>95</v>
      </c>
      <c r="D12" s="59" t="s">
        <v>107</v>
      </c>
    </row>
    <row r="13" spans="1:4" x14ac:dyDescent="0.35">
      <c r="A13" s="63">
        <v>54539</v>
      </c>
      <c r="B13" s="59" t="s">
        <v>112</v>
      </c>
      <c r="C13" s="59" t="s">
        <v>98</v>
      </c>
      <c r="D13" s="59" t="s">
        <v>96</v>
      </c>
    </row>
    <row r="14" spans="1:4" x14ac:dyDescent="0.35">
      <c r="A14" s="63">
        <v>55799</v>
      </c>
      <c r="B14" s="59" t="s">
        <v>113</v>
      </c>
      <c r="C14" s="59" t="s">
        <v>101</v>
      </c>
      <c r="D14" s="59" t="s">
        <v>114</v>
      </c>
    </row>
    <row r="15" spans="1:4" x14ac:dyDescent="0.35">
      <c r="A15" s="64">
        <v>57302</v>
      </c>
      <c r="B15" s="58" t="s">
        <v>115</v>
      </c>
      <c r="C15" s="65" t="s">
        <v>116</v>
      </c>
      <c r="D15" s="65" t="s">
        <v>107</v>
      </c>
    </row>
    <row r="16" spans="1:4" x14ac:dyDescent="0.35">
      <c r="A16" s="64">
        <v>57422</v>
      </c>
      <c r="B16" s="58" t="s">
        <v>117</v>
      </c>
      <c r="C16" s="65" t="s">
        <v>95</v>
      </c>
      <c r="D16" s="65" t="s">
        <v>102</v>
      </c>
    </row>
    <row r="17" spans="1:4" x14ac:dyDescent="0.35">
      <c r="A17" s="64">
        <v>58621</v>
      </c>
      <c r="B17" s="58" t="s">
        <v>118</v>
      </c>
      <c r="C17" s="65" t="s">
        <v>105</v>
      </c>
      <c r="D17" s="65" t="s">
        <v>114</v>
      </c>
    </row>
    <row r="18" spans="1:4" x14ac:dyDescent="0.35">
      <c r="A18" s="64">
        <v>58855</v>
      </c>
      <c r="B18" s="58" t="s">
        <v>119</v>
      </c>
      <c r="C18" s="65" t="s">
        <v>120</v>
      </c>
      <c r="D18" s="65" t="s">
        <v>114</v>
      </c>
    </row>
    <row r="19" spans="1:4" x14ac:dyDescent="0.35">
      <c r="A19" s="64">
        <v>59184</v>
      </c>
      <c r="B19" s="58" t="s">
        <v>121</v>
      </c>
      <c r="C19" s="65" t="s">
        <v>122</v>
      </c>
      <c r="D19" s="65" t="s">
        <v>114</v>
      </c>
    </row>
    <row r="20" spans="1:4" x14ac:dyDescent="0.35">
      <c r="A20" s="64">
        <v>59421</v>
      </c>
      <c r="B20" s="58" t="s">
        <v>123</v>
      </c>
      <c r="C20" s="66" t="s">
        <v>124</v>
      </c>
      <c r="D20" s="65" t="s">
        <v>107</v>
      </c>
    </row>
    <row r="21" spans="1:4" x14ac:dyDescent="0.35">
      <c r="A21" s="64">
        <v>59425</v>
      </c>
      <c r="B21" s="58" t="s">
        <v>125</v>
      </c>
      <c r="C21" s="65" t="s">
        <v>120</v>
      </c>
      <c r="D21" s="65" t="s">
        <v>102</v>
      </c>
    </row>
    <row r="22" spans="1:4" x14ac:dyDescent="0.35">
      <c r="A22" s="64">
        <v>59429</v>
      </c>
      <c r="B22" s="58" t="s">
        <v>126</v>
      </c>
      <c r="C22" s="65" t="s">
        <v>120</v>
      </c>
      <c r="D22" s="65" t="s">
        <v>114</v>
      </c>
    </row>
    <row r="23" spans="1:4" x14ac:dyDescent="0.35">
      <c r="A23" s="64">
        <v>59436</v>
      </c>
      <c r="B23" s="58" t="s">
        <v>127</v>
      </c>
      <c r="C23" s="65" t="s">
        <v>120</v>
      </c>
      <c r="D23" s="65" t="s">
        <v>107</v>
      </c>
    </row>
    <row r="24" spans="1:4" x14ac:dyDescent="0.35">
      <c r="A24" s="64">
        <v>59452</v>
      </c>
      <c r="B24" s="58" t="s">
        <v>128</v>
      </c>
      <c r="C24" s="65" t="s">
        <v>129</v>
      </c>
      <c r="D24" s="65" t="s">
        <v>107</v>
      </c>
    </row>
    <row r="25" spans="1:4" x14ac:dyDescent="0.35">
      <c r="A25" s="64">
        <v>60476</v>
      </c>
      <c r="B25" s="58" t="s">
        <v>130</v>
      </c>
      <c r="C25" s="65" t="s">
        <v>131</v>
      </c>
      <c r="D25" s="65" t="s">
        <v>132</v>
      </c>
    </row>
    <row r="26" spans="1:4" x14ac:dyDescent="0.35">
      <c r="A26" s="64">
        <v>61260</v>
      </c>
      <c r="B26" s="58" t="s">
        <v>133</v>
      </c>
      <c r="C26" s="65" t="s">
        <v>122</v>
      </c>
      <c r="D26" s="65" t="s">
        <v>114</v>
      </c>
    </row>
    <row r="27" spans="1:4" x14ac:dyDescent="0.35">
      <c r="A27" s="64">
        <v>62398</v>
      </c>
      <c r="B27" s="58" t="s">
        <v>134</v>
      </c>
      <c r="C27" s="65" t="s">
        <v>98</v>
      </c>
      <c r="D27" s="65" t="s">
        <v>96</v>
      </c>
    </row>
    <row r="28" spans="1:4" x14ac:dyDescent="0.35">
      <c r="A28" s="64">
        <v>62399</v>
      </c>
      <c r="B28" s="58" t="s">
        <v>135</v>
      </c>
      <c r="C28" s="65" t="s">
        <v>95</v>
      </c>
      <c r="D28" s="65" t="s">
        <v>96</v>
      </c>
    </row>
    <row r="29" spans="1:4" x14ac:dyDescent="0.35">
      <c r="A29" s="64">
        <v>62401</v>
      </c>
      <c r="B29" s="58" t="s">
        <v>136</v>
      </c>
      <c r="C29" s="65" t="s">
        <v>98</v>
      </c>
      <c r="D29" s="65" t="s">
        <v>96</v>
      </c>
    </row>
    <row r="30" spans="1:4" x14ac:dyDescent="0.35">
      <c r="A30" s="64">
        <v>62402</v>
      </c>
      <c r="B30" s="58" t="s">
        <v>137</v>
      </c>
      <c r="C30" s="65" t="s">
        <v>95</v>
      </c>
      <c r="D30" s="65" t="s">
        <v>114</v>
      </c>
    </row>
    <row r="31" spans="1:4" x14ac:dyDescent="0.35">
      <c r="A31" s="64">
        <v>65557</v>
      </c>
      <c r="B31" s="58" t="s">
        <v>138</v>
      </c>
      <c r="C31" s="65" t="s">
        <v>95</v>
      </c>
      <c r="D31" s="65" t="s">
        <v>107</v>
      </c>
    </row>
    <row r="32" spans="1:4" x14ac:dyDescent="0.35">
      <c r="A32" s="64">
        <v>65558</v>
      </c>
      <c r="B32" s="58" t="s">
        <v>139</v>
      </c>
      <c r="C32" s="65" t="s">
        <v>95</v>
      </c>
      <c r="D32" s="65" t="s">
        <v>107</v>
      </c>
    </row>
    <row r="33" spans="1:4" x14ac:dyDescent="0.35">
      <c r="A33" s="64">
        <v>66118</v>
      </c>
      <c r="B33" s="58" t="s">
        <v>140</v>
      </c>
      <c r="C33" s="65" t="s">
        <v>95</v>
      </c>
      <c r="D33" s="65" t="s">
        <v>107</v>
      </c>
    </row>
    <row r="34" spans="1:4" x14ac:dyDescent="0.35">
      <c r="A34" s="64">
        <v>66168</v>
      </c>
      <c r="B34" s="58" t="s">
        <v>141</v>
      </c>
      <c r="C34" s="65" t="s">
        <v>142</v>
      </c>
      <c r="D34" s="65" t="s">
        <v>107</v>
      </c>
    </row>
    <row r="35" spans="1:4" x14ac:dyDescent="0.35">
      <c r="A35" s="64">
        <v>66175</v>
      </c>
      <c r="B35" s="58" t="s">
        <v>143</v>
      </c>
      <c r="C35" s="66" t="s">
        <v>105</v>
      </c>
      <c r="D35" s="65" t="s">
        <v>107</v>
      </c>
    </row>
    <row r="36" spans="1:4" x14ac:dyDescent="0.35">
      <c r="A36" s="64">
        <v>70002</v>
      </c>
      <c r="B36" s="58" t="s">
        <v>144</v>
      </c>
      <c r="C36" s="65" t="s">
        <v>95</v>
      </c>
      <c r="D36" s="65" t="s">
        <v>107</v>
      </c>
    </row>
    <row r="37" spans="1:4" x14ac:dyDescent="0.35">
      <c r="A37" s="64">
        <v>70449</v>
      </c>
      <c r="B37" s="58" t="s">
        <v>145</v>
      </c>
      <c r="C37" s="65" t="s">
        <v>98</v>
      </c>
      <c r="D37" s="65" t="s">
        <v>107</v>
      </c>
    </row>
    <row r="38" spans="1:4" x14ac:dyDescent="0.35">
      <c r="A38" s="64">
        <v>70848</v>
      </c>
      <c r="B38" s="58" t="s">
        <v>146</v>
      </c>
      <c r="C38" s="66" t="s">
        <v>131</v>
      </c>
      <c r="D38" s="65" t="s">
        <v>107</v>
      </c>
    </row>
    <row r="39" spans="1:4" x14ac:dyDescent="0.35">
      <c r="A39" s="64">
        <v>72027</v>
      </c>
      <c r="B39" s="58" t="s">
        <v>147</v>
      </c>
      <c r="C39" s="66" t="s">
        <v>95</v>
      </c>
      <c r="D39" s="65" t="s">
        <v>132</v>
      </c>
    </row>
    <row r="40" spans="1:4" x14ac:dyDescent="0.35">
      <c r="A40" s="64">
        <v>72147</v>
      </c>
      <c r="B40" s="58" t="s">
        <v>89</v>
      </c>
      <c r="C40" s="65" t="s">
        <v>148</v>
      </c>
      <c r="D40" s="59" t="s">
        <v>96</v>
      </c>
    </row>
    <row r="41" spans="1:4" x14ac:dyDescent="0.35">
      <c r="A41" s="64">
        <v>72148</v>
      </c>
      <c r="B41" s="58" t="s">
        <v>149</v>
      </c>
      <c r="C41" s="65" t="s">
        <v>131</v>
      </c>
      <c r="D41" s="59" t="s">
        <v>96</v>
      </c>
    </row>
    <row r="42" spans="1:4" x14ac:dyDescent="0.35">
      <c r="A42" s="64">
        <v>72151</v>
      </c>
      <c r="B42" s="58" t="s">
        <v>150</v>
      </c>
      <c r="C42" s="65" t="s">
        <v>122</v>
      </c>
      <c r="D42" s="65" t="s">
        <v>132</v>
      </c>
    </row>
    <row r="43" spans="1:4" x14ac:dyDescent="0.35">
      <c r="A43" s="64">
        <v>72229</v>
      </c>
      <c r="B43" s="58" t="s">
        <v>151</v>
      </c>
      <c r="C43" s="65" t="s">
        <v>120</v>
      </c>
      <c r="D43" s="65" t="s">
        <v>107</v>
      </c>
    </row>
    <row r="44" spans="1:4" x14ac:dyDescent="0.35">
      <c r="A44" s="64">
        <v>72538</v>
      </c>
      <c r="B44" s="58" t="s">
        <v>152</v>
      </c>
      <c r="C44" s="65" t="s">
        <v>148</v>
      </c>
      <c r="D44" s="65" t="s">
        <v>102</v>
      </c>
    </row>
    <row r="45" spans="1:4" x14ac:dyDescent="0.35">
      <c r="A45" s="64">
        <v>72698</v>
      </c>
      <c r="B45" s="58" t="s">
        <v>152</v>
      </c>
      <c r="C45" s="65" t="s">
        <v>148</v>
      </c>
      <c r="D45" s="65" t="s">
        <v>102</v>
      </c>
    </row>
    <row r="46" spans="1:4" x14ac:dyDescent="0.35">
      <c r="A46" s="64">
        <v>72807</v>
      </c>
      <c r="B46" s="58" t="s">
        <v>153</v>
      </c>
      <c r="C46" s="65" t="s">
        <v>95</v>
      </c>
      <c r="D46" s="65" t="s">
        <v>102</v>
      </c>
    </row>
    <row r="47" spans="1:4" x14ac:dyDescent="0.35">
      <c r="A47" s="64">
        <v>73012</v>
      </c>
      <c r="B47" s="58" t="s">
        <v>154</v>
      </c>
      <c r="C47" s="65"/>
      <c r="D47" s="65" t="s">
        <v>102</v>
      </c>
    </row>
    <row r="48" spans="1:4" x14ac:dyDescent="0.35">
      <c r="A48" s="64">
        <v>73013</v>
      </c>
      <c r="B48" s="58" t="s">
        <v>155</v>
      </c>
      <c r="C48" s="65"/>
      <c r="D48" s="65" t="s">
        <v>102</v>
      </c>
    </row>
    <row r="49" spans="1:4" x14ac:dyDescent="0.35">
      <c r="A49" s="67">
        <v>73321</v>
      </c>
      <c r="B49" s="68" t="s">
        <v>156</v>
      </c>
      <c r="C49" s="69" t="s">
        <v>105</v>
      </c>
      <c r="D49" s="69" t="s">
        <v>107</v>
      </c>
    </row>
    <row r="50" spans="1:4" x14ac:dyDescent="0.35">
      <c r="A50" s="64">
        <v>73334</v>
      </c>
      <c r="B50" s="58" t="s">
        <v>157</v>
      </c>
      <c r="C50" s="65" t="s">
        <v>129</v>
      </c>
      <c r="D50" s="65" t="s">
        <v>107</v>
      </c>
    </row>
    <row r="51" spans="1:4" x14ac:dyDescent="0.35">
      <c r="A51" s="64">
        <v>73369</v>
      </c>
      <c r="B51" s="58" t="s">
        <v>158</v>
      </c>
      <c r="C51" s="65" t="s">
        <v>131</v>
      </c>
      <c r="D51" s="65" t="s">
        <v>107</v>
      </c>
    </row>
    <row r="52" spans="1:4" x14ac:dyDescent="0.35">
      <c r="A52" s="64">
        <v>73371</v>
      </c>
      <c r="B52" s="58" t="s">
        <v>159</v>
      </c>
      <c r="C52" s="65" t="s">
        <v>129</v>
      </c>
      <c r="D52" s="65" t="s">
        <v>107</v>
      </c>
    </row>
    <row r="53" spans="1:4" x14ac:dyDescent="0.35">
      <c r="A53" s="64">
        <v>73385</v>
      </c>
      <c r="B53" s="58" t="s">
        <v>160</v>
      </c>
      <c r="C53" s="65" t="s">
        <v>98</v>
      </c>
      <c r="D53" s="65" t="s">
        <v>102</v>
      </c>
    </row>
    <row r="54" spans="1:4" x14ac:dyDescent="0.35">
      <c r="A54" s="64">
        <v>73504</v>
      </c>
      <c r="B54" s="58" t="s">
        <v>161</v>
      </c>
      <c r="C54" s="65" t="s">
        <v>122</v>
      </c>
      <c r="D54" s="65" t="s">
        <v>114</v>
      </c>
    </row>
    <row r="55" spans="1:4" x14ac:dyDescent="0.35">
      <c r="A55" s="70">
        <v>73589</v>
      </c>
      <c r="B55" s="58" t="s">
        <v>162</v>
      </c>
      <c r="C55" s="65" t="s">
        <v>163</v>
      </c>
      <c r="D55" s="59" t="s">
        <v>107</v>
      </c>
    </row>
    <row r="56" spans="1:4" x14ac:dyDescent="0.35">
      <c r="A56" s="70">
        <v>73591</v>
      </c>
      <c r="B56" s="58" t="s">
        <v>164</v>
      </c>
      <c r="C56" s="65" t="s">
        <v>163</v>
      </c>
      <c r="D56" s="59" t="s">
        <v>107</v>
      </c>
    </row>
    <row r="57" spans="1:4" x14ac:dyDescent="0.35">
      <c r="A57" s="70">
        <v>73592</v>
      </c>
      <c r="B57" s="58" t="s">
        <v>165</v>
      </c>
      <c r="C57" s="65" t="s">
        <v>163</v>
      </c>
      <c r="D57" s="59" t="s">
        <v>107</v>
      </c>
    </row>
    <row r="58" spans="1:4" x14ac:dyDescent="0.35">
      <c r="A58" s="70">
        <v>73593</v>
      </c>
      <c r="B58" s="58" t="s">
        <v>166</v>
      </c>
      <c r="C58" s="65" t="s">
        <v>163</v>
      </c>
      <c r="D58" s="59" t="s">
        <v>107</v>
      </c>
    </row>
    <row r="59" spans="1:4" x14ac:dyDescent="0.35">
      <c r="A59" s="71">
        <v>74176</v>
      </c>
      <c r="B59" s="68" t="s">
        <v>167</v>
      </c>
      <c r="C59" s="69" t="s">
        <v>129</v>
      </c>
      <c r="D59" s="72" t="s">
        <v>107</v>
      </c>
    </row>
    <row r="60" spans="1:4" x14ac:dyDescent="0.35">
      <c r="A60" s="71">
        <v>74379</v>
      </c>
      <c r="B60" s="68" t="s">
        <v>168</v>
      </c>
      <c r="C60" s="69" t="s">
        <v>169</v>
      </c>
      <c r="D60" s="72" t="s">
        <v>107</v>
      </c>
    </row>
    <row r="61" spans="1:4" x14ac:dyDescent="0.35">
      <c r="A61" s="73">
        <v>51468</v>
      </c>
      <c r="B61" s="74" t="s">
        <v>170</v>
      </c>
      <c r="C61" s="74" t="s">
        <v>105</v>
      </c>
      <c r="D61" s="74" t="s">
        <v>96</v>
      </c>
    </row>
    <row r="62" spans="1:4" x14ac:dyDescent="0.35">
      <c r="A62" s="73">
        <v>53747</v>
      </c>
      <c r="B62" s="74" t="s">
        <v>171</v>
      </c>
      <c r="C62" s="74" t="s">
        <v>101</v>
      </c>
      <c r="D62" s="74" t="s">
        <v>114</v>
      </c>
    </row>
    <row r="63" spans="1:4" x14ac:dyDescent="0.35">
      <c r="A63" s="73">
        <v>53855</v>
      </c>
      <c r="B63" s="74" t="s">
        <v>172</v>
      </c>
      <c r="C63" s="74" t="s">
        <v>120</v>
      </c>
      <c r="D63" s="74" t="s">
        <v>114</v>
      </c>
    </row>
    <row r="64" spans="1:4" x14ac:dyDescent="0.35">
      <c r="A64" s="73">
        <v>53935</v>
      </c>
      <c r="B64" s="74" t="s">
        <v>173</v>
      </c>
      <c r="C64" s="74" t="s">
        <v>105</v>
      </c>
      <c r="D64" s="74" t="s">
        <v>102</v>
      </c>
    </row>
    <row r="65" spans="1:4" x14ac:dyDescent="0.35">
      <c r="A65" s="73">
        <v>54460</v>
      </c>
      <c r="B65" s="74" t="s">
        <v>174</v>
      </c>
      <c r="C65" s="74" t="s">
        <v>98</v>
      </c>
      <c r="D65" s="74" t="s">
        <v>114</v>
      </c>
    </row>
    <row r="66" spans="1:4" x14ac:dyDescent="0.35">
      <c r="A66" s="75">
        <v>54841</v>
      </c>
      <c r="B66" s="76" t="s">
        <v>175</v>
      </c>
      <c r="C66" s="76" t="s">
        <v>129</v>
      </c>
      <c r="D66" s="76" t="s">
        <v>114</v>
      </c>
    </row>
    <row r="67" spans="1:4" x14ac:dyDescent="0.35">
      <c r="A67" s="73">
        <v>54872</v>
      </c>
      <c r="B67" s="74" t="s">
        <v>176</v>
      </c>
      <c r="C67" s="74" t="s">
        <v>177</v>
      </c>
      <c r="D67" s="74" t="s">
        <v>107</v>
      </c>
    </row>
    <row r="68" spans="1:4" x14ac:dyDescent="0.35">
      <c r="A68" s="77">
        <v>56184</v>
      </c>
      <c r="B68" s="78" t="s">
        <v>178</v>
      </c>
      <c r="C68" s="79" t="s">
        <v>129</v>
      </c>
      <c r="D68" s="74" t="s">
        <v>102</v>
      </c>
    </row>
    <row r="69" spans="1:4" x14ac:dyDescent="0.35">
      <c r="A69" s="77">
        <v>57300</v>
      </c>
      <c r="B69" s="78" t="s">
        <v>179</v>
      </c>
      <c r="C69" s="79"/>
      <c r="D69" s="79" t="s">
        <v>107</v>
      </c>
    </row>
    <row r="70" spans="1:4" x14ac:dyDescent="0.35">
      <c r="A70" s="77">
        <v>58474</v>
      </c>
      <c r="B70" s="78" t="s">
        <v>180</v>
      </c>
      <c r="C70" s="79" t="s">
        <v>95</v>
      </c>
      <c r="D70" s="79" t="s">
        <v>102</v>
      </c>
    </row>
    <row r="71" spans="1:4" x14ac:dyDescent="0.35">
      <c r="A71" s="77">
        <v>59433</v>
      </c>
      <c r="B71" s="78" t="s">
        <v>181</v>
      </c>
      <c r="C71" s="79"/>
      <c r="D71" s="79" t="s">
        <v>107</v>
      </c>
    </row>
    <row r="72" spans="1:4" x14ac:dyDescent="0.35">
      <c r="A72" s="77">
        <v>59434</v>
      </c>
      <c r="B72" s="78" t="s">
        <v>182</v>
      </c>
      <c r="C72" s="79" t="s">
        <v>101</v>
      </c>
      <c r="D72" s="79" t="s">
        <v>107</v>
      </c>
    </row>
    <row r="73" spans="1:4" x14ac:dyDescent="0.35">
      <c r="A73" s="77">
        <v>59435</v>
      </c>
      <c r="B73" s="78" t="s">
        <v>183</v>
      </c>
      <c r="C73" s="79"/>
      <c r="D73" s="79" t="s">
        <v>107</v>
      </c>
    </row>
    <row r="74" spans="1:4" x14ac:dyDescent="0.35">
      <c r="A74" s="77">
        <v>59437</v>
      </c>
      <c r="B74" s="78" t="s">
        <v>184</v>
      </c>
      <c r="C74" s="79"/>
      <c r="D74" s="79" t="s">
        <v>107</v>
      </c>
    </row>
    <row r="75" spans="1:4" x14ac:dyDescent="0.35">
      <c r="A75" s="77">
        <v>59448</v>
      </c>
      <c r="B75" s="78" t="s">
        <v>185</v>
      </c>
      <c r="C75" s="79" t="s">
        <v>186</v>
      </c>
      <c r="D75" s="79" t="s">
        <v>114</v>
      </c>
    </row>
    <row r="76" spans="1:4" x14ac:dyDescent="0.35">
      <c r="A76" s="77">
        <v>59450</v>
      </c>
      <c r="B76" s="78" t="s">
        <v>187</v>
      </c>
      <c r="C76" s="79" t="s">
        <v>116</v>
      </c>
      <c r="D76" s="79" t="s">
        <v>132</v>
      </c>
    </row>
    <row r="77" spans="1:4" x14ac:dyDescent="0.35">
      <c r="A77" s="77">
        <v>59966</v>
      </c>
      <c r="B77" s="78" t="s">
        <v>188</v>
      </c>
      <c r="C77" s="79" t="s">
        <v>122</v>
      </c>
      <c r="D77" s="79" t="s">
        <v>107</v>
      </c>
    </row>
    <row r="78" spans="1:4" x14ac:dyDescent="0.35">
      <c r="A78" s="77">
        <v>60235</v>
      </c>
      <c r="B78" s="78" t="s">
        <v>189</v>
      </c>
      <c r="C78" s="80" t="s">
        <v>101</v>
      </c>
      <c r="D78" s="79" t="s">
        <v>107</v>
      </c>
    </row>
    <row r="79" spans="1:4" x14ac:dyDescent="0.35">
      <c r="A79" s="77">
        <v>60295</v>
      </c>
      <c r="B79" s="78" t="s">
        <v>190</v>
      </c>
      <c r="C79" s="79" t="s">
        <v>142</v>
      </c>
      <c r="D79" s="79" t="s">
        <v>107</v>
      </c>
    </row>
    <row r="80" spans="1:4" x14ac:dyDescent="0.35">
      <c r="A80" s="77">
        <v>61218</v>
      </c>
      <c r="B80" s="78" t="s">
        <v>185</v>
      </c>
      <c r="C80" s="80" t="s">
        <v>186</v>
      </c>
      <c r="D80" s="79" t="s">
        <v>114</v>
      </c>
    </row>
    <row r="81" spans="1:4" x14ac:dyDescent="0.35">
      <c r="A81" s="77">
        <v>62295</v>
      </c>
      <c r="B81" s="78" t="s">
        <v>191</v>
      </c>
      <c r="C81" s="79" t="s">
        <v>120</v>
      </c>
      <c r="D81" s="79" t="s">
        <v>107</v>
      </c>
    </row>
    <row r="82" spans="1:4" x14ac:dyDescent="0.35">
      <c r="A82" s="77">
        <v>63232</v>
      </c>
      <c r="B82" s="78" t="s">
        <v>192</v>
      </c>
      <c r="C82" s="79" t="s">
        <v>129</v>
      </c>
      <c r="D82" s="76" t="s">
        <v>107</v>
      </c>
    </row>
    <row r="83" spans="1:4" x14ac:dyDescent="0.35">
      <c r="A83" s="60">
        <v>54651</v>
      </c>
      <c r="B83" s="60" t="s">
        <v>193</v>
      </c>
      <c r="C83" s="81" t="s">
        <v>122</v>
      </c>
      <c r="D83" s="82" t="s">
        <v>102</v>
      </c>
    </row>
    <row r="84" spans="1:4" x14ac:dyDescent="0.35">
      <c r="A84" s="60">
        <v>54838</v>
      </c>
      <c r="B84" s="60" t="s">
        <v>194</v>
      </c>
      <c r="C84" s="81" t="s">
        <v>105</v>
      </c>
      <c r="D84" s="59" t="s">
        <v>107</v>
      </c>
    </row>
    <row r="85" spans="1:4" x14ac:dyDescent="0.35">
      <c r="A85" s="60">
        <v>54920</v>
      </c>
      <c r="B85" s="60" t="s">
        <v>195</v>
      </c>
      <c r="C85" s="81" t="s">
        <v>98</v>
      </c>
      <c r="D85" s="82" t="s">
        <v>102</v>
      </c>
    </row>
    <row r="86" spans="1:4" x14ac:dyDescent="0.35">
      <c r="A86" s="60">
        <v>55001</v>
      </c>
      <c r="B86" s="60" t="s">
        <v>196</v>
      </c>
      <c r="C86" s="81" t="s">
        <v>105</v>
      </c>
      <c r="D86" s="83" t="s">
        <v>114</v>
      </c>
    </row>
    <row r="87" spans="1:4" x14ac:dyDescent="0.35">
      <c r="A87" s="60">
        <v>55399</v>
      </c>
      <c r="B87" s="60" t="s">
        <v>197</v>
      </c>
      <c r="C87" s="81" t="s">
        <v>105</v>
      </c>
      <c r="D87" s="83" t="s">
        <v>102</v>
      </c>
    </row>
    <row r="88" spans="1:4" x14ac:dyDescent="0.35">
      <c r="A88" s="60">
        <v>55417</v>
      </c>
      <c r="B88" s="60" t="s">
        <v>198</v>
      </c>
      <c r="C88" s="81" t="s">
        <v>101</v>
      </c>
      <c r="D88" s="83" t="s">
        <v>102</v>
      </c>
    </row>
    <row r="89" spans="1:4" x14ac:dyDescent="0.35">
      <c r="A89" s="60">
        <v>63787</v>
      </c>
      <c r="B89" s="60" t="s">
        <v>199</v>
      </c>
      <c r="C89" s="81" t="s">
        <v>105</v>
      </c>
      <c r="D89" s="83" t="s">
        <v>114</v>
      </c>
    </row>
    <row r="90" spans="1:4" x14ac:dyDescent="0.35">
      <c r="A90" s="60">
        <v>74980</v>
      </c>
      <c r="B90" s="60" t="s">
        <v>200</v>
      </c>
      <c r="C90" s="83" t="s">
        <v>142</v>
      </c>
      <c r="D90" s="59" t="s">
        <v>107</v>
      </c>
    </row>
    <row r="91" spans="1:4" x14ac:dyDescent="0.35">
      <c r="A91" s="60">
        <v>74981</v>
      </c>
      <c r="B91" s="60" t="s">
        <v>201</v>
      </c>
      <c r="C91" s="83" t="s">
        <v>142</v>
      </c>
      <c r="D91" s="59" t="s">
        <v>107</v>
      </c>
    </row>
    <row r="92" spans="1:4" x14ac:dyDescent="0.35">
      <c r="A92" s="60">
        <v>76206</v>
      </c>
      <c r="B92" s="60" t="s">
        <v>202</v>
      </c>
      <c r="C92" s="81" t="s">
        <v>98</v>
      </c>
      <c r="D92" s="83" t="s">
        <v>102</v>
      </c>
    </row>
    <row r="93" spans="1:4" x14ac:dyDescent="0.35">
      <c r="A93" s="60">
        <v>76733</v>
      </c>
      <c r="B93" s="60" t="s">
        <v>203</v>
      </c>
      <c r="C93" s="81" t="s">
        <v>98</v>
      </c>
      <c r="D93" s="83" t="s">
        <v>114</v>
      </c>
    </row>
    <row r="94" spans="1:4" x14ac:dyDescent="0.35">
      <c r="A94" s="60">
        <v>77070</v>
      </c>
      <c r="B94" s="60" t="s">
        <v>204</v>
      </c>
      <c r="C94" s="81" t="s">
        <v>122</v>
      </c>
      <c r="D94" s="83" t="s">
        <v>114</v>
      </c>
    </row>
  </sheetData>
  <mergeCells count="1">
    <mergeCell ref="A1:D1"/>
  </mergeCells>
  <conditionalFormatting sqref="A3:A94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5113B-5B2C-4621-8235-F38A3CF21FCF}">
  <sheetPr codeName="Sheet5"/>
  <dimension ref="A1:F110"/>
  <sheetViews>
    <sheetView workbookViewId="0"/>
  </sheetViews>
  <sheetFormatPr defaultRowHeight="14.5" x14ac:dyDescent="0.35"/>
  <cols>
    <col min="1" max="1" width="6.7265625" bestFit="1" customWidth="1"/>
    <col min="2" max="2" width="88.6328125" bestFit="1" customWidth="1"/>
    <col min="6" max="6" width="55.453125" bestFit="1" customWidth="1"/>
  </cols>
  <sheetData>
    <row r="1" spans="1:6" x14ac:dyDescent="0.35">
      <c r="A1" s="61" t="s">
        <v>90</v>
      </c>
      <c r="B1" s="62" t="s">
        <v>91</v>
      </c>
      <c r="E1" s="61" t="s">
        <v>90</v>
      </c>
      <c r="F1" s="62" t="s">
        <v>91</v>
      </c>
    </row>
    <row r="2" spans="1:6" x14ac:dyDescent="0.35">
      <c r="A2" s="35">
        <v>55159</v>
      </c>
      <c r="B2" t="s">
        <v>213</v>
      </c>
      <c r="E2" s="35">
        <v>77624</v>
      </c>
      <c r="F2" t="s">
        <v>299</v>
      </c>
    </row>
    <row r="3" spans="1:6" x14ac:dyDescent="0.35">
      <c r="A3" s="35">
        <v>52210</v>
      </c>
      <c r="B3" t="s">
        <v>267</v>
      </c>
      <c r="E3" s="35">
        <v>72576</v>
      </c>
      <c r="F3" t="s">
        <v>300</v>
      </c>
    </row>
    <row r="4" spans="1:6" x14ac:dyDescent="0.35">
      <c r="A4" s="35">
        <v>54562</v>
      </c>
      <c r="B4" t="s">
        <v>268</v>
      </c>
      <c r="E4" s="35">
        <v>78438</v>
      </c>
      <c r="F4" t="s">
        <v>301</v>
      </c>
    </row>
    <row r="5" spans="1:6" x14ac:dyDescent="0.35">
      <c r="A5" s="35">
        <v>73862</v>
      </c>
      <c r="B5" t="s">
        <v>269</v>
      </c>
      <c r="E5" s="35">
        <v>69658</v>
      </c>
      <c r="F5" t="s">
        <v>302</v>
      </c>
    </row>
    <row r="6" spans="1:6" x14ac:dyDescent="0.35">
      <c r="A6" s="35">
        <v>62397</v>
      </c>
      <c r="B6" t="s">
        <v>137</v>
      </c>
      <c r="E6" s="35">
        <v>69599</v>
      </c>
      <c r="F6" t="s">
        <v>303</v>
      </c>
    </row>
    <row r="7" spans="1:6" x14ac:dyDescent="0.35">
      <c r="A7" s="35">
        <v>75013</v>
      </c>
      <c r="B7" t="s">
        <v>270</v>
      </c>
      <c r="E7" s="35">
        <v>71820</v>
      </c>
      <c r="F7" t="s">
        <v>304</v>
      </c>
    </row>
    <row r="8" spans="1:6" x14ac:dyDescent="0.35">
      <c r="A8" s="35">
        <v>52201</v>
      </c>
      <c r="B8" t="s">
        <v>206</v>
      </c>
      <c r="E8" s="35">
        <v>71821</v>
      </c>
      <c r="F8" t="s">
        <v>305</v>
      </c>
    </row>
    <row r="9" spans="1:6" x14ac:dyDescent="0.35">
      <c r="A9" s="35">
        <v>63478</v>
      </c>
      <c r="B9" t="s">
        <v>271</v>
      </c>
      <c r="E9" s="35">
        <v>72193</v>
      </c>
      <c r="F9" t="s">
        <v>306</v>
      </c>
    </row>
    <row r="10" spans="1:6" x14ac:dyDescent="0.35">
      <c r="A10" s="35">
        <v>52160</v>
      </c>
      <c r="B10" t="s">
        <v>214</v>
      </c>
      <c r="E10" s="35">
        <v>73383</v>
      </c>
      <c r="F10" t="s">
        <v>307</v>
      </c>
    </row>
    <row r="11" spans="1:6" x14ac:dyDescent="0.35">
      <c r="A11" s="35">
        <v>55807</v>
      </c>
      <c r="B11" t="s">
        <v>207</v>
      </c>
      <c r="E11" s="35">
        <v>72244</v>
      </c>
      <c r="F11" t="s">
        <v>308</v>
      </c>
    </row>
    <row r="12" spans="1:6" x14ac:dyDescent="0.35">
      <c r="A12" s="35">
        <v>56268</v>
      </c>
      <c r="B12" t="s">
        <v>272</v>
      </c>
      <c r="E12" s="35">
        <v>72243</v>
      </c>
      <c r="F12" t="s">
        <v>309</v>
      </c>
    </row>
    <row r="13" spans="1:6" x14ac:dyDescent="0.35">
      <c r="A13" s="35">
        <v>1303</v>
      </c>
      <c r="B13" t="s">
        <v>210</v>
      </c>
      <c r="E13" s="35">
        <v>79945</v>
      </c>
      <c r="F13" t="s">
        <v>310</v>
      </c>
    </row>
    <row r="14" spans="1:6" x14ac:dyDescent="0.35">
      <c r="A14" s="35">
        <v>71033</v>
      </c>
      <c r="B14" t="s">
        <v>215</v>
      </c>
    </row>
    <row r="15" spans="1:6" x14ac:dyDescent="0.35">
      <c r="A15" s="35">
        <v>59430</v>
      </c>
      <c r="B15" t="s">
        <v>216</v>
      </c>
    </row>
    <row r="16" spans="1:6" x14ac:dyDescent="0.35">
      <c r="A16" s="35">
        <v>79855</v>
      </c>
      <c r="B16" t="s">
        <v>273</v>
      </c>
    </row>
    <row r="17" spans="1:2" x14ac:dyDescent="0.35">
      <c r="A17" s="35">
        <v>73431</v>
      </c>
      <c r="B17" t="s">
        <v>274</v>
      </c>
    </row>
    <row r="18" spans="1:2" x14ac:dyDescent="0.35">
      <c r="A18" s="35">
        <v>52660</v>
      </c>
      <c r="B18" t="s">
        <v>275</v>
      </c>
    </row>
    <row r="19" spans="1:2" x14ac:dyDescent="0.35">
      <c r="A19" s="35">
        <v>72227</v>
      </c>
      <c r="B19" t="s">
        <v>276</v>
      </c>
    </row>
    <row r="20" spans="1:2" x14ac:dyDescent="0.35">
      <c r="A20" s="35">
        <v>74279</v>
      </c>
      <c r="B20" t="s">
        <v>277</v>
      </c>
    </row>
    <row r="21" spans="1:2" x14ac:dyDescent="0.35">
      <c r="A21" s="35">
        <v>80183</v>
      </c>
      <c r="B21" t="s">
        <v>278</v>
      </c>
    </row>
    <row r="22" spans="1:2" x14ac:dyDescent="0.35">
      <c r="A22" s="35">
        <v>73433</v>
      </c>
      <c r="B22" t="s">
        <v>279</v>
      </c>
    </row>
    <row r="23" spans="1:2" x14ac:dyDescent="0.35">
      <c r="A23" s="35">
        <v>69532</v>
      </c>
      <c r="B23" t="s">
        <v>280</v>
      </c>
    </row>
    <row r="24" spans="1:2" x14ac:dyDescent="0.35">
      <c r="A24" s="35">
        <v>55172</v>
      </c>
      <c r="B24" t="s">
        <v>211</v>
      </c>
    </row>
    <row r="25" spans="1:2" x14ac:dyDescent="0.35">
      <c r="A25" s="35">
        <v>52203</v>
      </c>
      <c r="B25" t="s">
        <v>100</v>
      </c>
    </row>
    <row r="26" spans="1:2" x14ac:dyDescent="0.35">
      <c r="A26" s="35">
        <v>51419</v>
      </c>
      <c r="B26" t="s">
        <v>217</v>
      </c>
    </row>
    <row r="27" spans="1:2" x14ac:dyDescent="0.35">
      <c r="A27" s="35">
        <v>59431</v>
      </c>
      <c r="B27" t="s">
        <v>281</v>
      </c>
    </row>
    <row r="28" spans="1:2" x14ac:dyDescent="0.35">
      <c r="A28" s="35">
        <v>54735</v>
      </c>
      <c r="B28" t="s">
        <v>218</v>
      </c>
    </row>
    <row r="29" spans="1:2" x14ac:dyDescent="0.35">
      <c r="A29" s="35">
        <v>71765</v>
      </c>
      <c r="B29" t="s">
        <v>282</v>
      </c>
    </row>
    <row r="30" spans="1:2" x14ac:dyDescent="0.35">
      <c r="A30" s="35">
        <v>59423</v>
      </c>
      <c r="B30" t="s">
        <v>209</v>
      </c>
    </row>
    <row r="31" spans="1:2" x14ac:dyDescent="0.35">
      <c r="A31" s="35">
        <v>73119</v>
      </c>
      <c r="B31" t="s">
        <v>161</v>
      </c>
    </row>
    <row r="32" spans="1:2" x14ac:dyDescent="0.35">
      <c r="A32" s="35">
        <v>59422</v>
      </c>
      <c r="B32" t="s">
        <v>126</v>
      </c>
    </row>
    <row r="33" spans="1:2" x14ac:dyDescent="0.35">
      <c r="A33" s="35">
        <v>51462</v>
      </c>
      <c r="B33" t="s">
        <v>208</v>
      </c>
    </row>
    <row r="34" spans="1:2" x14ac:dyDescent="0.35">
      <c r="A34" s="35">
        <v>72258</v>
      </c>
      <c r="B34" t="s">
        <v>283</v>
      </c>
    </row>
    <row r="35" spans="1:2" x14ac:dyDescent="0.35">
      <c r="A35" s="35">
        <v>66057</v>
      </c>
      <c r="B35" t="s">
        <v>284</v>
      </c>
    </row>
    <row r="36" spans="1:2" x14ac:dyDescent="0.35">
      <c r="A36" s="35">
        <v>65857</v>
      </c>
      <c r="B36" t="s">
        <v>285</v>
      </c>
    </row>
    <row r="37" spans="1:2" x14ac:dyDescent="0.35">
      <c r="A37" s="35">
        <v>51408</v>
      </c>
      <c r="B37" t="s">
        <v>212</v>
      </c>
    </row>
    <row r="38" spans="1:2" x14ac:dyDescent="0.35">
      <c r="A38" s="35">
        <v>73432</v>
      </c>
      <c r="B38" t="s">
        <v>286</v>
      </c>
    </row>
    <row r="39" spans="1:2" x14ac:dyDescent="0.35">
      <c r="A39" s="35">
        <v>70256</v>
      </c>
      <c r="B39" t="s">
        <v>287</v>
      </c>
    </row>
    <row r="40" spans="1:2" x14ac:dyDescent="0.35">
      <c r="A40" s="35">
        <v>73379</v>
      </c>
      <c r="B40" t="s">
        <v>288</v>
      </c>
    </row>
    <row r="41" spans="1:2" x14ac:dyDescent="0.35">
      <c r="A41" s="35">
        <v>78261</v>
      </c>
      <c r="B41" t="s">
        <v>289</v>
      </c>
    </row>
    <row r="42" spans="1:2" x14ac:dyDescent="0.35">
      <c r="A42" s="35">
        <v>70065</v>
      </c>
      <c r="B42" t="s">
        <v>220</v>
      </c>
    </row>
    <row r="43" spans="1:2" x14ac:dyDescent="0.35">
      <c r="A43" s="35">
        <v>72151</v>
      </c>
      <c r="B43" t="s">
        <v>222</v>
      </c>
    </row>
    <row r="44" spans="1:2" x14ac:dyDescent="0.35">
      <c r="A44" s="35">
        <v>71396</v>
      </c>
      <c r="B44" t="s">
        <v>290</v>
      </c>
    </row>
    <row r="45" spans="1:2" x14ac:dyDescent="0.35">
      <c r="A45" s="35">
        <v>71268</v>
      </c>
      <c r="B45" t="s">
        <v>291</v>
      </c>
    </row>
    <row r="46" spans="1:2" x14ac:dyDescent="0.35">
      <c r="A46" s="35">
        <v>54838</v>
      </c>
      <c r="B46" t="s">
        <v>194</v>
      </c>
    </row>
    <row r="47" spans="1:2" x14ac:dyDescent="0.35">
      <c r="A47" s="35">
        <v>55250</v>
      </c>
      <c r="B47" t="s">
        <v>219</v>
      </c>
    </row>
    <row r="48" spans="1:2" x14ac:dyDescent="0.35">
      <c r="A48" s="35">
        <v>54396</v>
      </c>
      <c r="B48" t="s">
        <v>221</v>
      </c>
    </row>
    <row r="49" spans="1:2" x14ac:dyDescent="0.35">
      <c r="A49" s="35">
        <v>71986</v>
      </c>
      <c r="B49" t="s">
        <v>292</v>
      </c>
    </row>
    <row r="50" spans="1:2" x14ac:dyDescent="0.35">
      <c r="A50" s="35">
        <v>80556</v>
      </c>
      <c r="B50" t="s">
        <v>293</v>
      </c>
    </row>
    <row r="51" spans="1:2" x14ac:dyDescent="0.35">
      <c r="A51" s="35">
        <v>72776</v>
      </c>
      <c r="B51" t="s">
        <v>158</v>
      </c>
    </row>
    <row r="52" spans="1:2" x14ac:dyDescent="0.35">
      <c r="A52" s="35">
        <v>72735</v>
      </c>
      <c r="B52" t="s">
        <v>294</v>
      </c>
    </row>
    <row r="53" spans="1:2" x14ac:dyDescent="0.35">
      <c r="A53" s="35">
        <v>60709</v>
      </c>
      <c r="B53" t="s">
        <v>223</v>
      </c>
    </row>
    <row r="54" spans="1:2" x14ac:dyDescent="0.35">
      <c r="A54" s="35">
        <v>72758</v>
      </c>
      <c r="B54" t="s">
        <v>156</v>
      </c>
    </row>
    <row r="55" spans="1:2" x14ac:dyDescent="0.35">
      <c r="A55" s="35">
        <v>78625</v>
      </c>
      <c r="B55" t="s">
        <v>295</v>
      </c>
    </row>
    <row r="56" spans="1:2" x14ac:dyDescent="0.35">
      <c r="A56" s="64"/>
      <c r="B56" s="58"/>
    </row>
    <row r="57" spans="1:2" x14ac:dyDescent="0.35">
      <c r="A57" s="73"/>
      <c r="B57" s="74"/>
    </row>
    <row r="58" spans="1:2" x14ac:dyDescent="0.35">
      <c r="A58" s="60"/>
      <c r="B58" s="60"/>
    </row>
    <row r="59" spans="1:2" x14ac:dyDescent="0.35">
      <c r="A59" s="63"/>
      <c r="B59" s="59"/>
    </row>
    <row r="60" spans="1:2" x14ac:dyDescent="0.35">
      <c r="A60" s="63"/>
      <c r="B60" s="59"/>
    </row>
    <row r="61" spans="1:2" x14ac:dyDescent="0.35">
      <c r="A61" s="64"/>
      <c r="B61" s="58"/>
    </row>
    <row r="62" spans="1:2" x14ac:dyDescent="0.35">
      <c r="A62" s="77"/>
      <c r="B62" s="78"/>
    </row>
    <row r="63" spans="1:2" x14ac:dyDescent="0.35">
      <c r="A63" s="63"/>
      <c r="B63" s="59"/>
    </row>
    <row r="64" spans="1:2" x14ac:dyDescent="0.35">
      <c r="A64" s="63"/>
      <c r="B64" s="59"/>
    </row>
    <row r="65" spans="1:2" x14ac:dyDescent="0.35">
      <c r="A65" s="63"/>
      <c r="B65" s="59"/>
    </row>
    <row r="66" spans="1:2" x14ac:dyDescent="0.35">
      <c r="A66" s="73"/>
      <c r="B66" s="74"/>
    </row>
    <row r="67" spans="1:2" x14ac:dyDescent="0.35">
      <c r="A67" s="64"/>
      <c r="B67" s="58"/>
    </row>
    <row r="68" spans="1:2" x14ac:dyDescent="0.35">
      <c r="A68" s="73"/>
      <c r="B68" s="74"/>
    </row>
    <row r="69" spans="1:2" x14ac:dyDescent="0.35">
      <c r="A69" s="64"/>
      <c r="B69" s="58"/>
    </row>
    <row r="70" spans="1:2" x14ac:dyDescent="0.35">
      <c r="A70" s="60"/>
      <c r="B70" s="60"/>
    </row>
    <row r="71" spans="1:2" x14ac:dyDescent="0.35">
      <c r="A71" s="64"/>
      <c r="B71" s="58"/>
    </row>
    <row r="72" spans="1:2" x14ac:dyDescent="0.35">
      <c r="A72" s="73"/>
      <c r="B72" s="74"/>
    </row>
    <row r="73" spans="1:2" x14ac:dyDescent="0.35">
      <c r="A73" s="73"/>
      <c r="B73" s="74"/>
    </row>
    <row r="74" spans="1:2" x14ac:dyDescent="0.35">
      <c r="A74" s="63"/>
      <c r="B74" s="59"/>
    </row>
    <row r="75" spans="1:2" x14ac:dyDescent="0.35">
      <c r="A75" s="63"/>
      <c r="B75" s="59"/>
    </row>
    <row r="76" spans="1:2" x14ac:dyDescent="0.35">
      <c r="A76" s="64"/>
      <c r="B76" s="58"/>
    </row>
    <row r="77" spans="1:2" x14ac:dyDescent="0.35">
      <c r="A77" s="60"/>
      <c r="B77" s="60"/>
    </row>
    <row r="78" spans="1:2" x14ac:dyDescent="0.35">
      <c r="A78" s="60"/>
      <c r="B78" s="60"/>
    </row>
    <row r="79" spans="1:2" x14ac:dyDescent="0.35">
      <c r="A79" s="73"/>
      <c r="B79" s="74"/>
    </row>
    <row r="80" spans="1:2" x14ac:dyDescent="0.35">
      <c r="A80" s="75"/>
      <c r="B80" s="76"/>
    </row>
    <row r="81" spans="1:2" x14ac:dyDescent="0.35">
      <c r="A81" s="64"/>
      <c r="B81" s="58"/>
    </row>
    <row r="82" spans="1:2" x14ac:dyDescent="0.35">
      <c r="A82" s="60"/>
      <c r="B82" s="60"/>
    </row>
    <row r="83" spans="1:2" x14ac:dyDescent="0.35">
      <c r="A83" s="60"/>
      <c r="B83" s="60"/>
    </row>
    <row r="84" spans="1:2" x14ac:dyDescent="0.35">
      <c r="A84" s="60"/>
      <c r="B84" s="60"/>
    </row>
    <row r="85" spans="1:2" x14ac:dyDescent="0.35">
      <c r="A85" s="64"/>
      <c r="B85" s="58"/>
    </row>
    <row r="86" spans="1:2" x14ac:dyDescent="0.35">
      <c r="A86" s="73"/>
      <c r="B86" s="74"/>
    </row>
    <row r="87" spans="1:2" x14ac:dyDescent="0.35">
      <c r="A87" s="60"/>
      <c r="B87" s="60"/>
    </row>
    <row r="88" spans="1:2" x14ac:dyDescent="0.35">
      <c r="A88" s="60"/>
      <c r="B88" s="60"/>
    </row>
    <row r="89" spans="1:2" x14ac:dyDescent="0.35">
      <c r="A89" s="60"/>
      <c r="B89" s="60"/>
    </row>
    <row r="90" spans="1:2" x14ac:dyDescent="0.35">
      <c r="A90" s="60"/>
      <c r="B90" s="60"/>
    </row>
    <row r="91" spans="1:2" x14ac:dyDescent="0.35">
      <c r="A91" s="64"/>
      <c r="B91" s="58"/>
    </row>
    <row r="92" spans="1:2" x14ac:dyDescent="0.35">
      <c r="A92" s="60"/>
      <c r="B92" s="60"/>
    </row>
    <row r="93" spans="1:2" x14ac:dyDescent="0.35">
      <c r="A93" s="60"/>
      <c r="B93" s="60"/>
    </row>
    <row r="94" spans="1:2" x14ac:dyDescent="0.35">
      <c r="A94" s="60"/>
      <c r="B94" s="60"/>
    </row>
    <row r="95" spans="1:2" x14ac:dyDescent="0.35">
      <c r="A95" s="60"/>
      <c r="B95" s="60"/>
    </row>
    <row r="96" spans="1:2" x14ac:dyDescent="0.35">
      <c r="A96" s="64"/>
      <c r="B96" s="58"/>
    </row>
    <row r="97" spans="1:2" x14ac:dyDescent="0.35">
      <c r="A97" s="64"/>
      <c r="B97" s="58"/>
    </row>
    <row r="98" spans="1:2" x14ac:dyDescent="0.35">
      <c r="A98" s="77"/>
      <c r="B98" s="78"/>
    </row>
    <row r="99" spans="1:2" x14ac:dyDescent="0.35">
      <c r="A99" s="64"/>
      <c r="B99" s="58"/>
    </row>
    <row r="100" spans="1:2" x14ac:dyDescent="0.35">
      <c r="A100" s="60"/>
      <c r="B100" s="60"/>
    </row>
    <row r="101" spans="1:2" x14ac:dyDescent="0.35">
      <c r="A101" s="64"/>
      <c r="B101" s="58"/>
    </row>
    <row r="102" spans="1:2" x14ac:dyDescent="0.35">
      <c r="A102" s="64"/>
      <c r="B102" s="58"/>
    </row>
    <row r="103" spans="1:2" x14ac:dyDescent="0.35">
      <c r="A103" s="64"/>
      <c r="B103" s="58"/>
    </row>
    <row r="104" spans="1:2" x14ac:dyDescent="0.35">
      <c r="A104" s="64"/>
      <c r="B104" s="58"/>
    </row>
    <row r="105" spans="1:2" x14ac:dyDescent="0.35">
      <c r="A105" s="64"/>
      <c r="B105" s="58"/>
    </row>
    <row r="106" spans="1:2" x14ac:dyDescent="0.35">
      <c r="A106" s="64"/>
      <c r="B106" s="58"/>
    </row>
    <row r="107" spans="1:2" x14ac:dyDescent="0.35">
      <c r="A107" s="64"/>
      <c r="B107" s="58"/>
    </row>
    <row r="108" spans="1:2" x14ac:dyDescent="0.35">
      <c r="A108" s="77"/>
      <c r="B108" s="78"/>
    </row>
    <row r="109" spans="1:2" x14ac:dyDescent="0.35">
      <c r="A109" s="60"/>
      <c r="B109" s="60"/>
    </row>
    <row r="110" spans="1:2" x14ac:dyDescent="0.35">
      <c r="A110" s="60"/>
      <c r="B110" s="6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8113-DB2E-4DE6-AA75-EB08EA66523A}">
  <sheetPr codeName="Sheet6"/>
  <dimension ref="A1:AA25"/>
  <sheetViews>
    <sheetView zoomScale="110" zoomScaleNormal="90" workbookViewId="0">
      <selection activeCell="N7" sqref="N7"/>
    </sheetView>
  </sheetViews>
  <sheetFormatPr defaultRowHeight="14.5" x14ac:dyDescent="0.35"/>
  <cols>
    <col min="1" max="1" width="4.81640625" bestFit="1" customWidth="1"/>
    <col min="2" max="2" width="7.453125" bestFit="1" customWidth="1"/>
    <col min="3" max="3" width="13.08984375" bestFit="1" customWidth="1"/>
    <col min="4" max="4" width="17.08984375" bestFit="1" customWidth="1"/>
    <col min="23" max="23" width="10.90625" bestFit="1" customWidth="1"/>
  </cols>
  <sheetData>
    <row r="1" spans="1:26" x14ac:dyDescent="0.35">
      <c r="A1" s="116" t="s">
        <v>76</v>
      </c>
      <c r="B1" s="116"/>
      <c r="C1" s="116"/>
      <c r="D1" s="116"/>
    </row>
    <row r="2" spans="1:26" x14ac:dyDescent="0.35">
      <c r="A2" s="54" t="s">
        <v>69</v>
      </c>
      <c r="B2" s="54" t="s">
        <v>70</v>
      </c>
      <c r="C2" s="54" t="s">
        <v>71</v>
      </c>
      <c r="D2" s="54" t="s">
        <v>72</v>
      </c>
    </row>
    <row r="3" spans="1:26" x14ac:dyDescent="0.35">
      <c r="A3" s="38">
        <v>2022</v>
      </c>
      <c r="B3" s="38">
        <v>52196</v>
      </c>
      <c r="C3" s="38">
        <v>1149593</v>
      </c>
      <c r="D3" s="55">
        <f>B3/C3</f>
        <v>4.5403895117663379E-2</v>
      </c>
    </row>
    <row r="4" spans="1:26" x14ac:dyDescent="0.35">
      <c r="A4" s="38">
        <v>2023</v>
      </c>
      <c r="B4" s="38">
        <v>77725</v>
      </c>
      <c r="C4" s="38">
        <v>964557</v>
      </c>
      <c r="D4" s="55">
        <f>B4/C4</f>
        <v>8.058103357292519E-2</v>
      </c>
    </row>
    <row r="5" spans="1:26" x14ac:dyDescent="0.35">
      <c r="A5" s="38">
        <v>2024</v>
      </c>
      <c r="B5" s="38">
        <v>100456.29000000001</v>
      </c>
      <c r="C5" s="38">
        <v>716358</v>
      </c>
      <c r="D5" s="55">
        <v>0.1447</v>
      </c>
    </row>
    <row r="6" spans="1:26" x14ac:dyDescent="0.35">
      <c r="A6" s="96">
        <v>2025</v>
      </c>
      <c r="B6">
        <v>152115</v>
      </c>
      <c r="C6" s="97">
        <v>778770</v>
      </c>
      <c r="D6" s="55">
        <f>B6/C6</f>
        <v>0.19532724681228089</v>
      </c>
    </row>
    <row r="10" spans="1:26" x14ac:dyDescent="0.35">
      <c r="X10" t="s">
        <v>43</v>
      </c>
    </row>
    <row r="11" spans="1:26" x14ac:dyDescent="0.35">
      <c r="W11" s="51" t="s">
        <v>3</v>
      </c>
      <c r="X11" s="51">
        <v>2022</v>
      </c>
      <c r="Y11" s="51">
        <v>2023</v>
      </c>
      <c r="Z11" s="51">
        <v>2024</v>
      </c>
    </row>
    <row r="12" spans="1:26" x14ac:dyDescent="0.35">
      <c r="W12" s="35" t="s">
        <v>24</v>
      </c>
      <c r="X12" s="52">
        <v>280</v>
      </c>
      <c r="Y12" s="52"/>
      <c r="Z12" s="52">
        <f>'Monthly Data 2025'!H3</f>
        <v>191.1</v>
      </c>
    </row>
    <row r="13" spans="1:26" x14ac:dyDescent="0.35">
      <c r="W13" s="35" t="s">
        <v>25</v>
      </c>
      <c r="X13" s="52">
        <v>80</v>
      </c>
      <c r="Y13" s="52">
        <v>487</v>
      </c>
      <c r="Z13" s="52">
        <f>'Monthly Data 2025'!H4</f>
        <v>136.5</v>
      </c>
    </row>
    <row r="14" spans="1:26" x14ac:dyDescent="0.35">
      <c r="W14" s="35" t="s">
        <v>26</v>
      </c>
      <c r="X14" s="52">
        <v>270</v>
      </c>
      <c r="Y14" s="52"/>
      <c r="Z14" s="52">
        <f>'Monthly Data 2025'!H5</f>
        <v>148.80000000000001</v>
      </c>
    </row>
    <row r="15" spans="1:26" x14ac:dyDescent="0.35">
      <c r="W15" s="35" t="s">
        <v>34</v>
      </c>
      <c r="X15" s="52">
        <v>621.5</v>
      </c>
      <c r="Y15" s="52"/>
      <c r="Z15" s="52">
        <f>'Monthly Data 2025'!H6</f>
        <v>684.87</v>
      </c>
    </row>
    <row r="16" spans="1:26" x14ac:dyDescent="0.35">
      <c r="W16" s="35" t="s">
        <v>28</v>
      </c>
      <c r="X16" s="52">
        <v>251</v>
      </c>
      <c r="Y16" s="52">
        <v>40</v>
      </c>
      <c r="Z16" s="52">
        <f>'Monthly Data 2025'!H7</f>
        <v>274.55</v>
      </c>
    </row>
    <row r="17" spans="23:27" x14ac:dyDescent="0.35">
      <c r="W17" s="35" t="s">
        <v>29</v>
      </c>
      <c r="X17" s="52">
        <v>1540</v>
      </c>
      <c r="Y17" s="52">
        <v>1004</v>
      </c>
      <c r="Z17" s="52">
        <f>'Monthly Data 2025'!H8</f>
        <v>136.64999999999998</v>
      </c>
    </row>
    <row r="18" spans="23:27" x14ac:dyDescent="0.35">
      <c r="W18" s="35" t="s">
        <v>32</v>
      </c>
      <c r="X18" s="52">
        <v>80</v>
      </c>
      <c r="Y18" s="52">
        <v>827</v>
      </c>
      <c r="Z18" s="52">
        <f>'Monthly Data 2025'!H9</f>
        <v>524.29999999999995</v>
      </c>
    </row>
    <row r="19" spans="23:27" x14ac:dyDescent="0.35">
      <c r="W19" s="35" t="s">
        <v>50</v>
      </c>
      <c r="X19" s="52">
        <v>90</v>
      </c>
      <c r="Y19" s="52"/>
      <c r="Z19" s="52">
        <f>'Monthly Data 2025'!H10</f>
        <v>352.79</v>
      </c>
    </row>
    <row r="20" spans="23:27" x14ac:dyDescent="0.35">
      <c r="W20" s="35" t="s">
        <v>53</v>
      </c>
      <c r="X20" s="52">
        <v>420.6</v>
      </c>
      <c r="Y20" s="52">
        <v>11.25</v>
      </c>
      <c r="Z20" s="52">
        <f>'Monthly Data 2025'!H11</f>
        <v>393.9</v>
      </c>
    </row>
    <row r="21" spans="23:27" x14ac:dyDescent="0.35">
      <c r="W21" s="35" t="s">
        <v>54</v>
      </c>
      <c r="X21" s="52">
        <v>35</v>
      </c>
      <c r="Y21" s="52">
        <v>248.5</v>
      </c>
      <c r="Z21" s="52">
        <f>'Monthly Data 2025'!H12</f>
        <v>212.5</v>
      </c>
    </row>
    <row r="22" spans="23:27" x14ac:dyDescent="0.35">
      <c r="W22" s="35" t="s">
        <v>55</v>
      </c>
      <c r="X22" s="52">
        <v>0</v>
      </c>
      <c r="Y22" s="52">
        <v>218.9</v>
      </c>
      <c r="Z22" s="52">
        <f>'Monthly Data 2025'!H13</f>
        <v>1353</v>
      </c>
    </row>
    <row r="23" spans="23:27" x14ac:dyDescent="0.35">
      <c r="W23" s="35" t="s">
        <v>56</v>
      </c>
      <c r="X23" s="52">
        <v>383.11</v>
      </c>
      <c r="Y23" s="52">
        <v>980.5</v>
      </c>
      <c r="Z23" s="52">
        <f>'Monthly Data 2025'!H14</f>
        <v>3045</v>
      </c>
    </row>
    <row r="24" spans="23:27" x14ac:dyDescent="0.35">
      <c r="W24" s="51" t="s">
        <v>74</v>
      </c>
      <c r="X24" s="53">
        <f>SUM(X12:X23)</f>
        <v>4051.21</v>
      </c>
      <c r="Y24" s="53">
        <f>SUM(Y12:Y23)</f>
        <v>3817.15</v>
      </c>
      <c r="Z24" s="53">
        <f t="shared" ref="Z24" si="0">SUM(Z12:Z23)</f>
        <v>7453.9599999999991</v>
      </c>
      <c r="AA24" s="52">
        <f>Z24-Y24</f>
        <v>3636.809999999999</v>
      </c>
    </row>
    <row r="25" spans="23:27" x14ac:dyDescent="0.35">
      <c r="AA25">
        <f>AA24/Y24</f>
        <v>0.95275532792790407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BF40-F698-4FA5-90A7-B011FCA30187}">
  <dimension ref="A1"/>
  <sheetViews>
    <sheetView zoomScale="110" zoomScaleNormal="110" workbookViewId="0">
      <selection activeCell="F20" sqref="F2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58B4-E166-4C1F-96F7-5A7C12467C68}">
  <sheetPr codeName="Sheet7"/>
  <dimension ref="A1"/>
  <sheetViews>
    <sheetView zoomScale="38" zoomScaleNormal="38" workbookViewId="0">
      <selection activeCell="Y119" sqref="Y11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0A04-4C68-4E9C-87BD-C3A8598B84D3}">
  <sheetPr codeName="Sheet8"/>
  <dimension ref="B1:O47"/>
  <sheetViews>
    <sheetView zoomScale="90" zoomScaleNormal="80"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F4" sqref="F4"/>
    </sheetView>
  </sheetViews>
  <sheetFormatPr defaultRowHeight="14.5" x14ac:dyDescent="0.35"/>
  <cols>
    <col min="2" max="2" width="9.26953125" customWidth="1"/>
    <col min="3" max="3" width="14.7265625" style="1" customWidth="1"/>
    <col min="4" max="4" width="12.08984375" style="1" customWidth="1"/>
    <col min="5" max="5" width="16" style="1" customWidth="1"/>
    <col min="6" max="6" width="14.08984375" style="1" customWidth="1"/>
    <col min="7" max="7" width="14.36328125" style="1" customWidth="1"/>
    <col min="8" max="8" width="15.26953125" style="1" customWidth="1"/>
  </cols>
  <sheetData>
    <row r="1" spans="2:8" x14ac:dyDescent="0.35">
      <c r="B1" s="4"/>
      <c r="C1" s="117" t="s">
        <v>0</v>
      </c>
      <c r="D1" s="118"/>
      <c r="E1" s="119" t="s">
        <v>1</v>
      </c>
      <c r="F1" s="120"/>
      <c r="G1" s="121" t="s">
        <v>2</v>
      </c>
      <c r="H1" s="122"/>
    </row>
    <row r="2" spans="2:8" s="2" customFormat="1" ht="29" x14ac:dyDescent="0.35">
      <c r="B2" s="6" t="s">
        <v>3</v>
      </c>
      <c r="C2" s="33" t="s">
        <v>10</v>
      </c>
      <c r="D2" s="33" t="s">
        <v>12</v>
      </c>
      <c r="E2" s="19" t="s">
        <v>18</v>
      </c>
      <c r="F2" s="19" t="s">
        <v>31</v>
      </c>
      <c r="G2" s="7" t="s">
        <v>21</v>
      </c>
      <c r="H2" s="8" t="s">
        <v>23</v>
      </c>
    </row>
    <row r="3" spans="2:8" x14ac:dyDescent="0.35">
      <c r="B3" s="9" t="s">
        <v>24</v>
      </c>
      <c r="C3" s="11">
        <f>Table2[[#This Row],[Total Savings - Billing]]</f>
        <v>191.1</v>
      </c>
      <c r="D3" s="12">
        <f>Table2[[#This Row],[Billing Savings %]]</f>
        <v>2.8728849868833482E-2</v>
      </c>
      <c r="E3" s="11">
        <f>Table2[[#This Row],[Total Savings - Charging]]</f>
        <v>4235.24</v>
      </c>
      <c r="F3" s="13">
        <f>Table2[[#This Row],[Charging Savings]]</f>
        <v>9.4932867101517493E-2</v>
      </c>
      <c r="G3" s="14">
        <f>Table2[[#This Row],[Total Savings - Monetization]]</f>
        <v>4426.34</v>
      </c>
      <c r="H3" s="15">
        <f>Table2[[#This Row],[Monetization Savings %]]</f>
        <v>8.6342591463741736E-2</v>
      </c>
    </row>
    <row r="4" spans="2:8" x14ac:dyDescent="0.35">
      <c r="B4" s="9" t="s">
        <v>25</v>
      </c>
      <c r="C4" s="11">
        <f>Table2[[#This Row],[Total Savings - Billing]]</f>
        <v>136.5</v>
      </c>
      <c r="D4" s="12">
        <f>Table2[[#This Row],[Billing Savings %]]</f>
        <v>2.2625559423172553E-2</v>
      </c>
      <c r="E4" s="11">
        <f>Table2[[#This Row],[Total Savings - Charging]]</f>
        <v>5920</v>
      </c>
      <c r="F4" s="13">
        <f>Table2[[#This Row],[Charging Savings]]</f>
        <v>0.14210614753114573</v>
      </c>
      <c r="G4" s="14">
        <f>Table2[[#This Row],[Total Savings - Monetization]]</f>
        <v>6056.5</v>
      </c>
      <c r="H4" s="15">
        <f>Table2[[#This Row],[Monetization Savings %]]</f>
        <v>0.12699194833515054</v>
      </c>
    </row>
    <row r="5" spans="2:8" x14ac:dyDescent="0.35">
      <c r="B5" s="9" t="s">
        <v>26</v>
      </c>
      <c r="C5" s="11"/>
      <c r="D5" s="12"/>
      <c r="E5" s="11"/>
      <c r="F5" s="13"/>
      <c r="G5" s="14"/>
      <c r="H5" s="15"/>
    </row>
    <row r="6" spans="2:8" x14ac:dyDescent="0.35">
      <c r="B6" s="9" t="s">
        <v>27</v>
      </c>
      <c r="C6" s="11"/>
      <c r="D6" s="12"/>
      <c r="E6" s="11"/>
      <c r="F6" s="13"/>
      <c r="G6" s="14"/>
      <c r="H6" s="15"/>
    </row>
    <row r="7" spans="2:8" x14ac:dyDescent="0.35">
      <c r="B7" s="9" t="s">
        <v>28</v>
      </c>
      <c r="C7" s="11"/>
      <c r="D7" s="12"/>
      <c r="E7" s="11"/>
      <c r="F7" s="13"/>
      <c r="G7" s="14"/>
      <c r="H7" s="15"/>
    </row>
    <row r="8" spans="2:8" x14ac:dyDescent="0.35">
      <c r="B8" s="9" t="s">
        <v>29</v>
      </c>
      <c r="C8" s="11"/>
      <c r="D8" s="12"/>
      <c r="E8" s="11"/>
      <c r="F8" s="13"/>
      <c r="G8" s="14"/>
      <c r="H8" s="15"/>
    </row>
    <row r="9" spans="2:8" x14ac:dyDescent="0.35">
      <c r="B9" s="9" t="s">
        <v>32</v>
      </c>
      <c r="C9" s="11"/>
      <c r="D9" s="12"/>
      <c r="E9" s="11"/>
      <c r="F9" s="13"/>
      <c r="G9" s="14"/>
      <c r="H9" s="15"/>
    </row>
    <row r="10" spans="2:8" x14ac:dyDescent="0.35">
      <c r="B10" s="9" t="s">
        <v>50</v>
      </c>
      <c r="C10" s="11"/>
      <c r="D10" s="12"/>
      <c r="E10" s="11"/>
      <c r="F10" s="12"/>
      <c r="G10" s="14"/>
      <c r="H10" s="15"/>
    </row>
    <row r="11" spans="2:8" x14ac:dyDescent="0.35">
      <c r="B11" s="9" t="s">
        <v>53</v>
      </c>
      <c r="C11" s="11"/>
      <c r="D11" s="12"/>
      <c r="E11" s="11"/>
      <c r="F11" s="12"/>
      <c r="G11" s="14"/>
      <c r="H11" s="15"/>
    </row>
    <row r="12" spans="2:8" x14ac:dyDescent="0.35">
      <c r="B12" s="9" t="s">
        <v>54</v>
      </c>
      <c r="C12" s="11"/>
      <c r="D12" s="12"/>
      <c r="E12" s="11"/>
      <c r="F12" s="12"/>
      <c r="G12" s="14"/>
      <c r="H12" s="15"/>
    </row>
    <row r="13" spans="2:8" x14ac:dyDescent="0.35">
      <c r="B13" s="9" t="s">
        <v>55</v>
      </c>
      <c r="C13" s="11"/>
      <c r="D13" s="12"/>
      <c r="E13" s="11"/>
      <c r="F13" s="12"/>
      <c r="G13" s="14"/>
      <c r="H13" s="15"/>
    </row>
    <row r="14" spans="2:8" x14ac:dyDescent="0.35">
      <c r="B14" s="9" t="s">
        <v>56</v>
      </c>
      <c r="C14" s="11"/>
      <c r="D14" s="12"/>
      <c r="E14" s="11"/>
      <c r="F14" s="12"/>
      <c r="G14" s="14"/>
      <c r="H14" s="15"/>
    </row>
    <row r="15" spans="2:8" x14ac:dyDescent="0.35">
      <c r="B15" s="20" t="s">
        <v>30</v>
      </c>
      <c r="C15" s="21">
        <f>SUM(C3:C14)</f>
        <v>327.60000000000002</v>
      </c>
      <c r="D15" s="23">
        <f>Table2[[#This Row],[Billing Savings %]]</f>
        <v>8.123600581318996E-2</v>
      </c>
      <c r="E15" s="21">
        <f>SUM(E3:E14)</f>
        <v>10155.24</v>
      </c>
      <c r="F15" s="23">
        <f>Table2[[#This Row],[Charging Savings]]</f>
        <v>0.10673955938934063</v>
      </c>
      <c r="G15" s="21">
        <f>SUM(G3:G14)</f>
        <v>10482.84</v>
      </c>
      <c r="H15" s="23">
        <f>Table2[[#This Row],[Monetization Savings %]]</f>
        <v>0.10268574294797266</v>
      </c>
    </row>
    <row r="16" spans="2:8" x14ac:dyDescent="0.35">
      <c r="D16" s="3"/>
      <c r="F16" s="3"/>
      <c r="H16" s="3"/>
    </row>
    <row r="18" spans="2:4" x14ac:dyDescent="0.35">
      <c r="D18" s="34"/>
    </row>
    <row r="32" spans="2:4" ht="21" customHeight="1" x14ac:dyDescent="0.35">
      <c r="B32" s="123" t="s">
        <v>33</v>
      </c>
      <c r="C32" s="124"/>
      <c r="D32" s="125"/>
    </row>
    <row r="33" spans="2:15" ht="31" x14ac:dyDescent="0.35">
      <c r="B33" s="24" t="s">
        <v>36</v>
      </c>
      <c r="C33" s="25">
        <v>2023</v>
      </c>
      <c r="D33" s="25">
        <v>2024</v>
      </c>
    </row>
    <row r="34" spans="2:15" ht="15.5" x14ac:dyDescent="0.35">
      <c r="B34" s="26" t="s">
        <v>24</v>
      </c>
      <c r="C34" s="27">
        <v>0</v>
      </c>
      <c r="D34" s="27">
        <v>147.02000000000001</v>
      </c>
    </row>
    <row r="35" spans="2:15" ht="15.5" x14ac:dyDescent="0.35">
      <c r="B35" s="26" t="s">
        <v>25</v>
      </c>
      <c r="C35" s="27">
        <v>247</v>
      </c>
      <c r="D35" s="27">
        <v>202.8</v>
      </c>
    </row>
    <row r="36" spans="2:15" ht="15.5" x14ac:dyDescent="0.35">
      <c r="B36" s="26" t="s">
        <v>26</v>
      </c>
      <c r="C36" s="27">
        <v>0</v>
      </c>
      <c r="D36" s="27">
        <v>52</v>
      </c>
    </row>
    <row r="37" spans="2:15" ht="15.5" x14ac:dyDescent="0.35">
      <c r="B37" s="26" t="s">
        <v>34</v>
      </c>
      <c r="C37" s="27">
        <v>0</v>
      </c>
      <c r="D37" s="27">
        <v>1202.5</v>
      </c>
    </row>
    <row r="38" spans="2:15" ht="15.5" x14ac:dyDescent="0.35">
      <c r="B38" s="26" t="s">
        <v>28</v>
      </c>
      <c r="C38" s="27">
        <v>40</v>
      </c>
      <c r="D38" s="27">
        <v>910.32</v>
      </c>
    </row>
    <row r="39" spans="2:15" ht="15.5" x14ac:dyDescent="0.35">
      <c r="B39" s="26" t="s">
        <v>29</v>
      </c>
      <c r="C39" s="27">
        <v>890</v>
      </c>
      <c r="D39" s="27">
        <v>725</v>
      </c>
    </row>
    <row r="40" spans="2:15" ht="15.5" x14ac:dyDescent="0.35">
      <c r="B40" s="26" t="s">
        <v>32</v>
      </c>
      <c r="C40" s="27">
        <v>827</v>
      </c>
      <c r="D40" s="27">
        <f>C9</f>
        <v>0</v>
      </c>
    </row>
    <row r="41" spans="2:15" ht="15.5" x14ac:dyDescent="0.35">
      <c r="B41" s="26" t="s">
        <v>50</v>
      </c>
      <c r="C41" s="27">
        <v>0</v>
      </c>
      <c r="D41" s="27">
        <f>C10</f>
        <v>0</v>
      </c>
    </row>
    <row r="42" spans="2:15" ht="15.5" x14ac:dyDescent="0.35">
      <c r="B42" s="26" t="s">
        <v>53</v>
      </c>
      <c r="C42" s="27">
        <v>11.25</v>
      </c>
      <c r="D42" s="27">
        <f>C11</f>
        <v>0</v>
      </c>
    </row>
    <row r="43" spans="2:15" ht="15.5" hidden="1" x14ac:dyDescent="0.35">
      <c r="B43" s="26" t="s">
        <v>54</v>
      </c>
      <c r="C43" s="27"/>
      <c r="D43" s="27"/>
      <c r="O43" s="47">
        <v>248.5</v>
      </c>
    </row>
    <row r="44" spans="2:15" ht="15.5" hidden="1" x14ac:dyDescent="0.35">
      <c r="B44" s="26" t="s">
        <v>55</v>
      </c>
      <c r="C44" s="27"/>
      <c r="D44" s="27"/>
      <c r="O44" s="47">
        <v>218.9</v>
      </c>
    </row>
    <row r="45" spans="2:15" ht="15.5" hidden="1" x14ac:dyDescent="0.35">
      <c r="B45" s="26" t="s">
        <v>56</v>
      </c>
      <c r="C45" s="27"/>
      <c r="D45" s="27"/>
      <c r="O45" s="47">
        <v>980.5</v>
      </c>
    </row>
    <row r="46" spans="2:15" ht="15.5" x14ac:dyDescent="0.35">
      <c r="B46" s="28" t="s">
        <v>35</v>
      </c>
      <c r="C46" s="28">
        <f>SUM(C34:C45)</f>
        <v>2015.25</v>
      </c>
      <c r="D46" s="28">
        <f>SUM(D34:D45)</f>
        <v>3239.6400000000003</v>
      </c>
      <c r="E46" s="1">
        <f>D46-C46</f>
        <v>1224.3900000000003</v>
      </c>
    </row>
    <row r="47" spans="2:15" x14ac:dyDescent="0.35">
      <c r="D47" s="29">
        <f>E46/C46</f>
        <v>0.6075623371790102</v>
      </c>
    </row>
  </sheetData>
  <mergeCells count="4">
    <mergeCell ref="C1:D1"/>
    <mergeCell ref="E1:F1"/>
    <mergeCell ref="G1:H1"/>
    <mergeCell ref="B32:D32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A4B2-313E-4C25-A2CE-94F9678F73AE}">
  <sheetPr codeName="Sheet9"/>
  <dimension ref="A1:H32"/>
  <sheetViews>
    <sheetView topLeftCell="B1" zoomScaleNormal="100" workbookViewId="0">
      <selection activeCell="F25" sqref="F25"/>
    </sheetView>
  </sheetViews>
  <sheetFormatPr defaultRowHeight="14.5" x14ac:dyDescent="0.35"/>
  <cols>
    <col min="1" max="1" width="15.26953125" bestFit="1" customWidth="1"/>
    <col min="2" max="2" width="11.6328125" customWidth="1"/>
    <col min="3" max="3" width="10.1796875" bestFit="1" customWidth="1"/>
    <col min="4" max="4" width="9.453125" bestFit="1" customWidth="1"/>
    <col min="5" max="5" width="10.1796875" bestFit="1" customWidth="1"/>
    <col min="6" max="11" width="8.81640625" customWidth="1"/>
  </cols>
  <sheetData>
    <row r="1" spans="1:8" x14ac:dyDescent="0.35">
      <c r="A1" s="131" t="s">
        <v>51</v>
      </c>
      <c r="B1" s="129" t="s">
        <v>52</v>
      </c>
      <c r="C1" s="130"/>
    </row>
    <row r="2" spans="1:8" x14ac:dyDescent="0.35">
      <c r="A2" s="132"/>
      <c r="B2" s="41" t="s">
        <v>60</v>
      </c>
      <c r="C2" s="41" t="s">
        <v>59</v>
      </c>
      <c r="D2" s="37" t="s">
        <v>58</v>
      </c>
    </row>
    <row r="3" spans="1:8" x14ac:dyDescent="0.35">
      <c r="A3" s="38">
        <v>2023</v>
      </c>
      <c r="B3" s="42">
        <f>B21</f>
        <v>267</v>
      </c>
      <c r="C3" s="42">
        <f>C21</f>
        <v>156</v>
      </c>
      <c r="D3" s="38">
        <f>B3/12</f>
        <v>22.25</v>
      </c>
    </row>
    <row r="4" spans="1:8" x14ac:dyDescent="0.35">
      <c r="A4" s="38">
        <v>2024</v>
      </c>
      <c r="B4" s="42">
        <f>D21</f>
        <v>219</v>
      </c>
      <c r="C4" s="42">
        <f>E21</f>
        <v>149</v>
      </c>
      <c r="D4" s="38">
        <f>B4/COUNT(D9:D20)</f>
        <v>24.333333333333332</v>
      </c>
    </row>
    <row r="7" spans="1:8" x14ac:dyDescent="0.35">
      <c r="A7" s="126" t="s">
        <v>3</v>
      </c>
      <c r="B7" s="128">
        <v>2023</v>
      </c>
      <c r="C7" s="128"/>
      <c r="D7" s="128">
        <v>2024</v>
      </c>
      <c r="E7" s="128"/>
    </row>
    <row r="8" spans="1:8" x14ac:dyDescent="0.35">
      <c r="A8" s="127"/>
      <c r="B8" s="41" t="s">
        <v>60</v>
      </c>
      <c r="C8" s="41" t="s">
        <v>59</v>
      </c>
      <c r="D8" s="41" t="s">
        <v>60</v>
      </c>
      <c r="E8" s="41" t="s">
        <v>59</v>
      </c>
    </row>
    <row r="9" spans="1:8" x14ac:dyDescent="0.35">
      <c r="A9" s="14" t="s">
        <v>24</v>
      </c>
      <c r="B9" s="14">
        <v>19</v>
      </c>
      <c r="C9" s="14">
        <v>17</v>
      </c>
      <c r="D9" s="14">
        <v>42</v>
      </c>
      <c r="E9" s="42">
        <v>27</v>
      </c>
      <c r="H9" s="35"/>
    </row>
    <row r="10" spans="1:8" x14ac:dyDescent="0.35">
      <c r="A10" s="14" t="s">
        <v>25</v>
      </c>
      <c r="B10" s="14">
        <v>34</v>
      </c>
      <c r="C10" s="14">
        <v>23</v>
      </c>
      <c r="D10" s="14">
        <v>25</v>
      </c>
      <c r="E10" s="42">
        <v>8</v>
      </c>
      <c r="H10" s="35"/>
    </row>
    <row r="11" spans="1:8" x14ac:dyDescent="0.35">
      <c r="A11" s="14" t="s">
        <v>26</v>
      </c>
      <c r="B11" s="14">
        <v>24</v>
      </c>
      <c r="C11" s="14">
        <v>21</v>
      </c>
      <c r="D11" s="14">
        <v>16</v>
      </c>
      <c r="E11" s="42">
        <v>12</v>
      </c>
      <c r="H11" s="35"/>
    </row>
    <row r="12" spans="1:8" x14ac:dyDescent="0.35">
      <c r="A12" s="14" t="s">
        <v>34</v>
      </c>
      <c r="B12" s="14">
        <v>19</v>
      </c>
      <c r="C12" s="14">
        <v>11</v>
      </c>
      <c r="D12" s="14">
        <v>17</v>
      </c>
      <c r="E12" s="42">
        <v>11</v>
      </c>
      <c r="H12" s="35"/>
    </row>
    <row r="13" spans="1:8" x14ac:dyDescent="0.35">
      <c r="A13" s="14" t="s">
        <v>28</v>
      </c>
      <c r="B13" s="14">
        <v>24</v>
      </c>
      <c r="C13" s="14">
        <v>13</v>
      </c>
      <c r="D13" s="14">
        <v>27</v>
      </c>
      <c r="E13" s="42">
        <v>19</v>
      </c>
      <c r="H13" s="35"/>
    </row>
    <row r="14" spans="1:8" x14ac:dyDescent="0.35">
      <c r="A14" s="14" t="s">
        <v>29</v>
      </c>
      <c r="B14" s="14">
        <v>32</v>
      </c>
      <c r="C14" s="14">
        <v>26</v>
      </c>
      <c r="D14" s="14">
        <v>22</v>
      </c>
      <c r="E14" s="42">
        <v>20</v>
      </c>
      <c r="H14" s="35"/>
    </row>
    <row r="15" spans="1:8" x14ac:dyDescent="0.35">
      <c r="A15" s="14" t="s">
        <v>32</v>
      </c>
      <c r="B15" s="14">
        <v>17</v>
      </c>
      <c r="C15" s="14">
        <v>5</v>
      </c>
      <c r="D15" s="14">
        <v>17</v>
      </c>
      <c r="E15" s="42">
        <v>10</v>
      </c>
      <c r="H15" s="35"/>
    </row>
    <row r="16" spans="1:8" x14ac:dyDescent="0.35">
      <c r="A16" s="14" t="s">
        <v>50</v>
      </c>
      <c r="B16" s="14">
        <v>9</v>
      </c>
      <c r="C16" s="14">
        <v>5</v>
      </c>
      <c r="D16" s="14">
        <v>23</v>
      </c>
      <c r="E16" s="42">
        <v>20</v>
      </c>
      <c r="H16" s="35"/>
    </row>
    <row r="17" spans="1:8" x14ac:dyDescent="0.35">
      <c r="A17" s="14" t="s">
        <v>53</v>
      </c>
      <c r="B17" s="14">
        <v>21</v>
      </c>
      <c r="C17" s="14">
        <v>10</v>
      </c>
      <c r="D17" s="14">
        <v>30</v>
      </c>
      <c r="E17" s="42">
        <v>22</v>
      </c>
      <c r="H17" s="35"/>
    </row>
    <row r="18" spans="1:8" x14ac:dyDescent="0.35">
      <c r="A18" s="14" t="s">
        <v>54</v>
      </c>
      <c r="B18" s="14">
        <v>16</v>
      </c>
      <c r="C18" s="14">
        <v>7</v>
      </c>
      <c r="D18" s="14"/>
      <c r="E18" s="42"/>
      <c r="H18" s="35"/>
    </row>
    <row r="19" spans="1:8" x14ac:dyDescent="0.35">
      <c r="A19" s="14" t="s">
        <v>55</v>
      </c>
      <c r="B19" s="14">
        <v>24</v>
      </c>
      <c r="C19" s="14">
        <v>5</v>
      </c>
      <c r="D19" s="14"/>
      <c r="E19" s="42"/>
      <c r="H19" s="35"/>
    </row>
    <row r="20" spans="1:8" x14ac:dyDescent="0.35">
      <c r="A20" s="14" t="s">
        <v>56</v>
      </c>
      <c r="B20" s="14">
        <v>28</v>
      </c>
      <c r="C20" s="14">
        <v>13</v>
      </c>
      <c r="D20" s="14"/>
      <c r="E20" s="42"/>
      <c r="H20" s="35"/>
    </row>
    <row r="21" spans="1:8" x14ac:dyDescent="0.35">
      <c r="A21" s="36" t="s">
        <v>57</v>
      </c>
      <c r="B21" s="39">
        <f>SUM(B9:B20)</f>
        <v>267</v>
      </c>
      <c r="C21" s="39">
        <f>SUM(C9:C20)</f>
        <v>156</v>
      </c>
      <c r="D21" s="39">
        <f>SUM(D9:D20)</f>
        <v>219</v>
      </c>
      <c r="E21" s="40">
        <f>SUM(E9:E20)</f>
        <v>149</v>
      </c>
    </row>
    <row r="25" spans="1:8" x14ac:dyDescent="0.35">
      <c r="D25" s="35"/>
    </row>
    <row r="26" spans="1:8" x14ac:dyDescent="0.35">
      <c r="D26" s="35"/>
    </row>
    <row r="27" spans="1:8" x14ac:dyDescent="0.35">
      <c r="D27" s="35"/>
    </row>
    <row r="28" spans="1:8" x14ac:dyDescent="0.35">
      <c r="D28" s="35"/>
    </row>
    <row r="29" spans="1:8" x14ac:dyDescent="0.35">
      <c r="D29" s="35"/>
    </row>
    <row r="30" spans="1:8" x14ac:dyDescent="0.35">
      <c r="D30" s="35"/>
    </row>
    <row r="31" spans="1:8" x14ac:dyDescent="0.35">
      <c r="D31" s="35"/>
    </row>
    <row r="32" spans="1:8" x14ac:dyDescent="0.35">
      <c r="D32" s="35"/>
    </row>
  </sheetData>
  <sortState xmlns:xlrd2="http://schemas.microsoft.com/office/spreadsheetml/2017/richdata2" ref="H9:I20">
    <sortCondition ref="H9:H20"/>
  </sortState>
  <mergeCells count="5">
    <mergeCell ref="A7:A8"/>
    <mergeCell ref="D7:E7"/>
    <mergeCell ref="B7:C7"/>
    <mergeCell ref="B1:C1"/>
    <mergeCell ref="A1:A2"/>
  </mergeCells>
  <phoneticPr fontId="3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2D3D-9C44-4269-BECE-4123CA723299}">
  <sheetPr codeName="Sheet10"/>
  <dimension ref="A1:D71"/>
  <sheetViews>
    <sheetView workbookViewId="0">
      <selection activeCell="F15" sqref="F15"/>
    </sheetView>
  </sheetViews>
  <sheetFormatPr defaultRowHeight="14.5" x14ac:dyDescent="0.35"/>
  <cols>
    <col min="3" max="3" width="22.453125" bestFit="1" customWidth="1"/>
    <col min="4" max="4" width="33.7265625" bestFit="1" customWidth="1"/>
  </cols>
  <sheetData>
    <row r="1" spans="1:4" x14ac:dyDescent="0.35">
      <c r="A1" s="31" t="s">
        <v>3</v>
      </c>
      <c r="B1" s="31" t="s">
        <v>37</v>
      </c>
      <c r="C1" s="31" t="s">
        <v>38</v>
      </c>
      <c r="D1" s="31" t="s">
        <v>41</v>
      </c>
    </row>
    <row r="2" spans="1:4" x14ac:dyDescent="0.35">
      <c r="A2" t="s">
        <v>24</v>
      </c>
      <c r="B2" t="s">
        <v>42</v>
      </c>
      <c r="C2" s="35" t="s">
        <v>48</v>
      </c>
      <c r="D2" s="35" t="s">
        <v>65</v>
      </c>
    </row>
    <row r="3" spans="1:4" x14ac:dyDescent="0.35">
      <c r="A3" t="s">
        <v>24</v>
      </c>
      <c r="B3" t="s">
        <v>42</v>
      </c>
      <c r="C3" s="35" t="s">
        <v>77</v>
      </c>
      <c r="D3" s="35" t="s">
        <v>39</v>
      </c>
    </row>
    <row r="4" spans="1:4" x14ac:dyDescent="0.35">
      <c r="A4" t="s">
        <v>24</v>
      </c>
      <c r="B4" t="s">
        <v>42</v>
      </c>
      <c r="C4" s="35" t="s">
        <v>78</v>
      </c>
      <c r="D4" s="35" t="s">
        <v>79</v>
      </c>
    </row>
    <row r="5" spans="1:4" x14ac:dyDescent="0.35">
      <c r="A5" t="s">
        <v>24</v>
      </c>
      <c r="B5" t="s">
        <v>42</v>
      </c>
      <c r="C5" s="35" t="s">
        <v>67</v>
      </c>
      <c r="D5" s="35" t="s">
        <v>66</v>
      </c>
    </row>
    <row r="6" spans="1:4" x14ac:dyDescent="0.35">
      <c r="A6" t="s">
        <v>24</v>
      </c>
      <c r="B6" t="s">
        <v>42</v>
      </c>
      <c r="C6" s="35" t="s">
        <v>61</v>
      </c>
      <c r="D6" s="35" t="s">
        <v>62</v>
      </c>
    </row>
    <row r="7" spans="1:4" x14ac:dyDescent="0.35">
      <c r="A7" t="s">
        <v>24</v>
      </c>
      <c r="B7" t="s">
        <v>43</v>
      </c>
      <c r="C7" t="s">
        <v>44</v>
      </c>
      <c r="D7" s="35" t="s">
        <v>45</v>
      </c>
    </row>
    <row r="8" spans="1:4" x14ac:dyDescent="0.35">
      <c r="A8" t="s">
        <v>24</v>
      </c>
      <c r="B8" t="s">
        <v>43</v>
      </c>
      <c r="C8" t="s">
        <v>80</v>
      </c>
      <c r="D8" s="35" t="s">
        <v>47</v>
      </c>
    </row>
    <row r="9" spans="1:4" x14ac:dyDescent="0.35">
      <c r="A9" t="s">
        <v>24</v>
      </c>
      <c r="B9" t="s">
        <v>43</v>
      </c>
      <c r="C9" t="s">
        <v>49</v>
      </c>
      <c r="D9" s="35" t="s">
        <v>46</v>
      </c>
    </row>
    <row r="10" spans="1:4" x14ac:dyDescent="0.35">
      <c r="A10" t="s">
        <v>25</v>
      </c>
      <c r="B10" t="s">
        <v>42</v>
      </c>
      <c r="C10" s="35" t="s">
        <v>81</v>
      </c>
      <c r="D10" s="35" t="s">
        <v>68</v>
      </c>
    </row>
    <row r="11" spans="1:4" x14ac:dyDescent="0.35">
      <c r="A11" t="s">
        <v>25</v>
      </c>
      <c r="B11" t="s">
        <v>42</v>
      </c>
      <c r="C11" s="35" t="s">
        <v>40</v>
      </c>
      <c r="D11" s="35" t="s">
        <v>66</v>
      </c>
    </row>
    <row r="12" spans="1:4" x14ac:dyDescent="0.35">
      <c r="A12" t="s">
        <v>25</v>
      </c>
      <c r="B12" t="s">
        <v>42</v>
      </c>
      <c r="C12" s="35" t="s">
        <v>82</v>
      </c>
      <c r="D12" s="35" t="s">
        <v>66</v>
      </c>
    </row>
    <row r="13" spans="1:4" x14ac:dyDescent="0.35">
      <c r="A13" t="s">
        <v>25</v>
      </c>
      <c r="B13" t="s">
        <v>42</v>
      </c>
      <c r="C13" s="35" t="s">
        <v>83</v>
      </c>
      <c r="D13" s="35" t="s">
        <v>63</v>
      </c>
    </row>
    <row r="14" spans="1:4" x14ac:dyDescent="0.35">
      <c r="A14" t="s">
        <v>25</v>
      </c>
      <c r="B14" t="s">
        <v>42</v>
      </c>
      <c r="C14" s="35" t="s">
        <v>84</v>
      </c>
      <c r="D14" s="35" t="s">
        <v>64</v>
      </c>
    </row>
    <row r="15" spans="1:4" x14ac:dyDescent="0.35">
      <c r="A15" t="s">
        <v>25</v>
      </c>
      <c r="B15" t="s">
        <v>43</v>
      </c>
      <c r="C15" s="56" t="s">
        <v>85</v>
      </c>
      <c r="D15" s="35" t="s">
        <v>47</v>
      </c>
    </row>
    <row r="16" spans="1:4" x14ac:dyDescent="0.35">
      <c r="A16" t="s">
        <v>25</v>
      </c>
      <c r="B16" t="s">
        <v>43</v>
      </c>
      <c r="C16" s="56" t="s">
        <v>86</v>
      </c>
      <c r="D16" s="35" t="s">
        <v>45</v>
      </c>
    </row>
    <row r="17" spans="1:4" x14ac:dyDescent="0.35">
      <c r="A17" t="s">
        <v>25</v>
      </c>
      <c r="B17" t="s">
        <v>43</v>
      </c>
      <c r="C17" s="56" t="s">
        <v>49</v>
      </c>
      <c r="D17" s="35" t="s">
        <v>46</v>
      </c>
    </row>
    <row r="18" spans="1:4" x14ac:dyDescent="0.35">
      <c r="A18" t="s">
        <v>25</v>
      </c>
      <c r="B18" t="s">
        <v>43</v>
      </c>
      <c r="C18" s="56" t="s">
        <v>44</v>
      </c>
      <c r="D18" s="35" t="s">
        <v>45</v>
      </c>
    </row>
    <row r="19" spans="1:4" x14ac:dyDescent="0.35">
      <c r="A19" t="s">
        <v>26</v>
      </c>
      <c r="B19" t="s">
        <v>42</v>
      </c>
      <c r="C19" s="30" t="s">
        <v>227</v>
      </c>
      <c r="D19" s="35" t="s">
        <v>63</v>
      </c>
    </row>
    <row r="20" spans="1:4" x14ac:dyDescent="0.35">
      <c r="A20" t="s">
        <v>26</v>
      </c>
      <c r="B20" t="s">
        <v>42</v>
      </c>
      <c r="C20" s="30" t="s">
        <v>40</v>
      </c>
      <c r="D20" s="35" t="s">
        <v>66</v>
      </c>
    </row>
    <row r="21" spans="1:4" x14ac:dyDescent="0.35">
      <c r="A21" t="s">
        <v>26</v>
      </c>
      <c r="B21" t="s">
        <v>42</v>
      </c>
      <c r="C21" s="30" t="s">
        <v>228</v>
      </c>
      <c r="D21" s="35" t="s">
        <v>231</v>
      </c>
    </row>
    <row r="22" spans="1:4" x14ac:dyDescent="0.35">
      <c r="A22" t="s">
        <v>26</v>
      </c>
      <c r="B22" t="s">
        <v>42</v>
      </c>
      <c r="C22" s="30" t="s">
        <v>229</v>
      </c>
      <c r="D22" s="35" t="s">
        <v>232</v>
      </c>
    </row>
    <row r="23" spans="1:4" x14ac:dyDescent="0.35">
      <c r="A23" t="s">
        <v>26</v>
      </c>
      <c r="B23" t="s">
        <v>42</v>
      </c>
      <c r="C23" s="30" t="s">
        <v>230</v>
      </c>
      <c r="D23" s="35" t="s">
        <v>233</v>
      </c>
    </row>
    <row r="24" spans="1:4" x14ac:dyDescent="0.35">
      <c r="A24" t="s">
        <v>26</v>
      </c>
      <c r="B24" t="s">
        <v>43</v>
      </c>
      <c r="C24" s="30" t="s">
        <v>49</v>
      </c>
      <c r="D24" s="35" t="s">
        <v>46</v>
      </c>
    </row>
    <row r="25" spans="1:4" x14ac:dyDescent="0.35">
      <c r="A25" t="s">
        <v>26</v>
      </c>
      <c r="B25" t="s">
        <v>43</v>
      </c>
      <c r="C25" s="30" t="s">
        <v>44</v>
      </c>
      <c r="D25" s="35" t="s">
        <v>45</v>
      </c>
    </row>
    <row r="26" spans="1:4" x14ac:dyDescent="0.35">
      <c r="A26" t="s">
        <v>34</v>
      </c>
      <c r="B26" t="s">
        <v>43</v>
      </c>
      <c r="C26" s="30" t="s">
        <v>80</v>
      </c>
      <c r="D26" s="35" t="s">
        <v>47</v>
      </c>
    </row>
    <row r="27" spans="1:4" x14ac:dyDescent="0.35">
      <c r="A27" t="s">
        <v>34</v>
      </c>
      <c r="B27" t="s">
        <v>43</v>
      </c>
      <c r="C27" s="30" t="s">
        <v>49</v>
      </c>
      <c r="D27" s="35" t="s">
        <v>46</v>
      </c>
    </row>
    <row r="28" spans="1:4" x14ac:dyDescent="0.35">
      <c r="A28" t="s">
        <v>34</v>
      </c>
      <c r="B28" t="s">
        <v>43</v>
      </c>
      <c r="C28" s="30" t="s">
        <v>234</v>
      </c>
      <c r="D28" s="35" t="s">
        <v>235</v>
      </c>
    </row>
    <row r="29" spans="1:4" x14ac:dyDescent="0.35">
      <c r="A29" t="s">
        <v>34</v>
      </c>
      <c r="B29" t="s">
        <v>43</v>
      </c>
      <c r="C29" s="30" t="s">
        <v>44</v>
      </c>
      <c r="D29" s="35" t="s">
        <v>45</v>
      </c>
    </row>
    <row r="30" spans="1:4" x14ac:dyDescent="0.35">
      <c r="A30" t="s">
        <v>34</v>
      </c>
      <c r="B30" t="s">
        <v>42</v>
      </c>
      <c r="C30" s="30" t="s">
        <v>236</v>
      </c>
      <c r="D30" s="35" t="s">
        <v>63</v>
      </c>
    </row>
    <row r="31" spans="1:4" x14ac:dyDescent="0.35">
      <c r="A31" t="s">
        <v>34</v>
      </c>
      <c r="B31" t="s">
        <v>42</v>
      </c>
      <c r="C31" s="30" t="s">
        <v>237</v>
      </c>
      <c r="D31" s="35" t="s">
        <v>39</v>
      </c>
    </row>
    <row r="32" spans="1:4" x14ac:dyDescent="0.35">
      <c r="A32" t="s">
        <v>34</v>
      </c>
      <c r="B32" t="s">
        <v>42</v>
      </c>
      <c r="C32" s="30" t="s">
        <v>82</v>
      </c>
      <c r="D32" s="35" t="s">
        <v>66</v>
      </c>
    </row>
    <row r="33" spans="1:4" x14ac:dyDescent="0.35">
      <c r="A33" t="s">
        <v>34</v>
      </c>
      <c r="B33" t="s">
        <v>42</v>
      </c>
      <c r="C33" s="30" t="s">
        <v>238</v>
      </c>
      <c r="D33" s="35" t="s">
        <v>63</v>
      </c>
    </row>
    <row r="34" spans="1:4" x14ac:dyDescent="0.35">
      <c r="A34" t="s">
        <v>34</v>
      </c>
      <c r="B34" t="s">
        <v>42</v>
      </c>
      <c r="C34" s="30" t="s">
        <v>239</v>
      </c>
      <c r="D34" s="35" t="s">
        <v>65</v>
      </c>
    </row>
    <row r="35" spans="1:4" x14ac:dyDescent="0.35">
      <c r="A35" t="s">
        <v>28</v>
      </c>
      <c r="B35" t="s">
        <v>43</v>
      </c>
      <c r="C35" s="35" t="s">
        <v>240</v>
      </c>
      <c r="D35" t="s">
        <v>46</v>
      </c>
    </row>
    <row r="36" spans="1:4" x14ac:dyDescent="0.35">
      <c r="A36" t="s">
        <v>28</v>
      </c>
      <c r="B36" t="s">
        <v>43</v>
      </c>
      <c r="C36" s="35" t="s">
        <v>49</v>
      </c>
      <c r="D36" s="35" t="s">
        <v>46</v>
      </c>
    </row>
    <row r="37" spans="1:4" x14ac:dyDescent="0.35">
      <c r="A37" t="s">
        <v>28</v>
      </c>
      <c r="B37" t="s">
        <v>43</v>
      </c>
      <c r="C37" s="35" t="s">
        <v>241</v>
      </c>
      <c r="D37" s="35" t="s">
        <v>46</v>
      </c>
    </row>
    <row r="38" spans="1:4" x14ac:dyDescent="0.35">
      <c r="A38" t="s">
        <v>28</v>
      </c>
      <c r="B38" t="s">
        <v>43</v>
      </c>
      <c r="C38" s="35" t="s">
        <v>44</v>
      </c>
      <c r="D38" s="35" t="s">
        <v>45</v>
      </c>
    </row>
    <row r="39" spans="1:4" x14ac:dyDescent="0.35">
      <c r="A39" t="s">
        <v>28</v>
      </c>
      <c r="B39" t="s">
        <v>42</v>
      </c>
      <c r="C39" s="35" t="s">
        <v>242</v>
      </c>
      <c r="D39" t="s">
        <v>244</v>
      </c>
    </row>
    <row r="40" spans="1:4" x14ac:dyDescent="0.35">
      <c r="A40" t="s">
        <v>28</v>
      </c>
      <c r="B40" t="s">
        <v>42</v>
      </c>
      <c r="C40" s="35" t="s">
        <v>48</v>
      </c>
      <c r="D40" s="35" t="s">
        <v>65</v>
      </c>
    </row>
    <row r="41" spans="1:4" x14ac:dyDescent="0.35">
      <c r="A41" t="s">
        <v>28</v>
      </c>
      <c r="B41" t="s">
        <v>42</v>
      </c>
      <c r="C41" s="35" t="s">
        <v>243</v>
      </c>
      <c r="D41" s="35" t="s">
        <v>62</v>
      </c>
    </row>
    <row r="42" spans="1:4" x14ac:dyDescent="0.35">
      <c r="A42" t="s">
        <v>28</v>
      </c>
      <c r="B42" t="s">
        <v>42</v>
      </c>
      <c r="C42" s="35" t="s">
        <v>40</v>
      </c>
      <c r="D42" s="35" t="s">
        <v>66</v>
      </c>
    </row>
    <row r="43" spans="1:4" x14ac:dyDescent="0.35">
      <c r="A43" t="s">
        <v>28</v>
      </c>
      <c r="B43" t="s">
        <v>42</v>
      </c>
      <c r="C43" s="35" t="s">
        <v>228</v>
      </c>
      <c r="D43" s="35" t="s">
        <v>231</v>
      </c>
    </row>
    <row r="44" spans="1:4" x14ac:dyDescent="0.35">
      <c r="A44" t="s">
        <v>29</v>
      </c>
      <c r="B44" t="s">
        <v>42</v>
      </c>
      <c r="C44" s="35" t="s">
        <v>238</v>
      </c>
      <c r="D44" s="35" t="s">
        <v>257</v>
      </c>
    </row>
    <row r="45" spans="1:4" x14ac:dyDescent="0.35">
      <c r="A45" t="s">
        <v>29</v>
      </c>
      <c r="B45" t="s">
        <v>42</v>
      </c>
      <c r="C45" s="35" t="s">
        <v>245</v>
      </c>
      <c r="D45" s="35" t="s">
        <v>257</v>
      </c>
    </row>
    <row r="46" spans="1:4" x14ac:dyDescent="0.35">
      <c r="A46" t="s">
        <v>29</v>
      </c>
      <c r="B46" t="s">
        <v>42</v>
      </c>
      <c r="C46" s="35" t="s">
        <v>246</v>
      </c>
      <c r="D46" s="35" t="s">
        <v>39</v>
      </c>
    </row>
    <row r="47" spans="1:4" x14ac:dyDescent="0.35">
      <c r="A47" t="s">
        <v>29</v>
      </c>
      <c r="B47" t="s">
        <v>42</v>
      </c>
      <c r="C47" s="35" t="s">
        <v>61</v>
      </c>
      <c r="D47" s="35" t="s">
        <v>39</v>
      </c>
    </row>
    <row r="48" spans="1:4" x14ac:dyDescent="0.35">
      <c r="A48" t="s">
        <v>29</v>
      </c>
      <c r="B48" t="s">
        <v>42</v>
      </c>
      <c r="C48" s="35" t="s">
        <v>48</v>
      </c>
      <c r="D48" s="35" t="s">
        <v>39</v>
      </c>
    </row>
    <row r="49" spans="1:4" x14ac:dyDescent="0.35">
      <c r="A49" t="s">
        <v>29</v>
      </c>
      <c r="B49" t="s">
        <v>43</v>
      </c>
      <c r="C49" s="35" t="s">
        <v>247</v>
      </c>
      <c r="D49" s="35" t="s">
        <v>235</v>
      </c>
    </row>
    <row r="50" spans="1:4" x14ac:dyDescent="0.35">
      <c r="A50" t="s">
        <v>29</v>
      </c>
      <c r="B50" t="s">
        <v>43</v>
      </c>
      <c r="C50" s="35" t="s">
        <v>49</v>
      </c>
      <c r="D50" s="35" t="s">
        <v>46</v>
      </c>
    </row>
    <row r="51" spans="1:4" x14ac:dyDescent="0.35">
      <c r="A51" t="s">
        <v>29</v>
      </c>
      <c r="B51" t="s">
        <v>43</v>
      </c>
      <c r="C51" s="35" t="s">
        <v>44</v>
      </c>
      <c r="D51" s="35" t="s">
        <v>45</v>
      </c>
    </row>
    <row r="52" spans="1:4" x14ac:dyDescent="0.35">
      <c r="A52" t="s">
        <v>32</v>
      </c>
      <c r="B52" t="s">
        <v>42</v>
      </c>
      <c r="C52" s="35" t="s">
        <v>48</v>
      </c>
      <c r="D52" s="35" t="s">
        <v>39</v>
      </c>
    </row>
    <row r="53" spans="1:4" x14ac:dyDescent="0.35">
      <c r="A53" t="s">
        <v>32</v>
      </c>
      <c r="B53" t="s">
        <v>42</v>
      </c>
      <c r="C53" s="35" t="s">
        <v>256</v>
      </c>
      <c r="D53" s="35" t="s">
        <v>68</v>
      </c>
    </row>
    <row r="54" spans="1:4" x14ac:dyDescent="0.35">
      <c r="A54" t="s">
        <v>32</v>
      </c>
      <c r="B54" t="s">
        <v>42</v>
      </c>
      <c r="C54" s="35" t="s">
        <v>61</v>
      </c>
      <c r="D54" s="35" t="s">
        <v>39</v>
      </c>
    </row>
    <row r="55" spans="1:4" x14ac:dyDescent="0.35">
      <c r="A55" t="s">
        <v>32</v>
      </c>
      <c r="B55" t="s">
        <v>42</v>
      </c>
      <c r="C55" s="35" t="s">
        <v>253</v>
      </c>
      <c r="D55" s="35" t="s">
        <v>231</v>
      </c>
    </row>
    <row r="56" spans="1:4" x14ac:dyDescent="0.35">
      <c r="A56" t="s">
        <v>32</v>
      </c>
      <c r="B56" t="s">
        <v>42</v>
      </c>
      <c r="C56" s="35" t="s">
        <v>254</v>
      </c>
      <c r="D56" s="35" t="s">
        <v>66</v>
      </c>
    </row>
    <row r="57" spans="1:4" x14ac:dyDescent="0.35">
      <c r="A57" t="s">
        <v>32</v>
      </c>
      <c r="B57" t="s">
        <v>43</v>
      </c>
      <c r="C57" s="90" t="s">
        <v>240</v>
      </c>
      <c r="D57" s="35" t="s">
        <v>46</v>
      </c>
    </row>
    <row r="58" spans="1:4" x14ac:dyDescent="0.35">
      <c r="A58" t="s">
        <v>32</v>
      </c>
      <c r="B58" t="s">
        <v>43</v>
      </c>
      <c r="C58" s="90" t="s">
        <v>241</v>
      </c>
      <c r="D58" s="35" t="s">
        <v>46</v>
      </c>
    </row>
    <row r="59" spans="1:4" x14ac:dyDescent="0.35">
      <c r="A59" t="s">
        <v>32</v>
      </c>
      <c r="B59" t="s">
        <v>43</v>
      </c>
      <c r="C59" s="90" t="s">
        <v>255</v>
      </c>
      <c r="D59" s="35" t="s">
        <v>46</v>
      </c>
    </row>
    <row r="60" spans="1:4" x14ac:dyDescent="0.35">
      <c r="A60" t="s">
        <v>32</v>
      </c>
      <c r="B60" t="s">
        <v>43</v>
      </c>
      <c r="C60" s="90" t="s">
        <v>44</v>
      </c>
      <c r="D60" s="35" t="s">
        <v>45</v>
      </c>
    </row>
    <row r="61" spans="1:4" x14ac:dyDescent="0.35">
      <c r="A61" t="s">
        <v>32</v>
      </c>
      <c r="B61" t="s">
        <v>43</v>
      </c>
      <c r="C61" s="90" t="s">
        <v>49</v>
      </c>
      <c r="D61" s="35" t="s">
        <v>46</v>
      </c>
    </row>
    <row r="62" spans="1:4" x14ac:dyDescent="0.35">
      <c r="A62" t="s">
        <v>50</v>
      </c>
      <c r="B62" t="s">
        <v>42</v>
      </c>
      <c r="C62" s="35" t="s">
        <v>229</v>
      </c>
      <c r="D62" s="35" t="s">
        <v>257</v>
      </c>
    </row>
    <row r="63" spans="1:4" x14ac:dyDescent="0.35">
      <c r="A63" t="s">
        <v>50</v>
      </c>
      <c r="B63" t="s">
        <v>42</v>
      </c>
      <c r="C63" s="35" t="s">
        <v>48</v>
      </c>
      <c r="D63" s="35" t="s">
        <v>39</v>
      </c>
    </row>
    <row r="64" spans="1:4" x14ac:dyDescent="0.35">
      <c r="A64" t="s">
        <v>50</v>
      </c>
      <c r="B64" t="s">
        <v>42</v>
      </c>
      <c r="C64" s="35" t="s">
        <v>61</v>
      </c>
      <c r="D64" s="35" t="s">
        <v>39</v>
      </c>
    </row>
    <row r="65" spans="1:4" x14ac:dyDescent="0.35">
      <c r="A65" t="s">
        <v>50</v>
      </c>
      <c r="B65" t="s">
        <v>42</v>
      </c>
      <c r="C65" s="35" t="s">
        <v>258</v>
      </c>
      <c r="D65" s="35" t="s">
        <v>233</v>
      </c>
    </row>
    <row r="66" spans="1:4" x14ac:dyDescent="0.35">
      <c r="A66" t="s">
        <v>50</v>
      </c>
      <c r="B66" t="s">
        <v>42</v>
      </c>
      <c r="C66" s="35" t="s">
        <v>259</v>
      </c>
      <c r="D66" s="35" t="s">
        <v>66</v>
      </c>
    </row>
    <row r="67" spans="1:4" x14ac:dyDescent="0.35">
      <c r="A67" t="s">
        <v>50</v>
      </c>
      <c r="B67" t="s">
        <v>43</v>
      </c>
      <c r="C67" s="35" t="s">
        <v>260</v>
      </c>
      <c r="D67" s="35" t="s">
        <v>264</v>
      </c>
    </row>
    <row r="68" spans="1:4" x14ac:dyDescent="0.35">
      <c r="A68" t="s">
        <v>50</v>
      </c>
      <c r="B68" t="s">
        <v>43</v>
      </c>
      <c r="C68" s="35" t="s">
        <v>261</v>
      </c>
      <c r="D68" s="35" t="s">
        <v>265</v>
      </c>
    </row>
    <row r="69" spans="1:4" x14ac:dyDescent="0.35">
      <c r="A69" t="s">
        <v>50</v>
      </c>
      <c r="B69" t="s">
        <v>43</v>
      </c>
      <c r="C69" s="35" t="s">
        <v>44</v>
      </c>
      <c r="D69" s="35" t="s">
        <v>45</v>
      </c>
    </row>
    <row r="70" spans="1:4" x14ac:dyDescent="0.35">
      <c r="A70" t="s">
        <v>50</v>
      </c>
      <c r="B70" t="s">
        <v>43</v>
      </c>
      <c r="C70" s="35" t="s">
        <v>262</v>
      </c>
      <c r="D70" s="35" t="s">
        <v>235</v>
      </c>
    </row>
    <row r="71" spans="1:4" x14ac:dyDescent="0.35">
      <c r="A71" t="s">
        <v>50</v>
      </c>
      <c r="B71" t="s">
        <v>43</v>
      </c>
      <c r="C71" s="35" t="s">
        <v>263</v>
      </c>
      <c r="D71" s="35" t="s">
        <v>235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e84ceb-fbfd-47ab-be52-080c6b87953f}" enabled="0" method="" siteId="{92e84ceb-fbfd-47ab-be52-080c6b8795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Monthly Data 2024</vt:lpstr>
      <vt:lpstr>Monthly Data 2025</vt:lpstr>
      <vt:lpstr>Monthly Data 2026</vt:lpstr>
      <vt:lpstr>Star Awards 2026</vt:lpstr>
      <vt:lpstr>Top 5 and Assets</vt:lpstr>
      <vt:lpstr>Unused Assets</vt:lpstr>
      <vt:lpstr>Bottom Assets</vt:lpstr>
      <vt:lpstr>3 Years Trend</vt:lpstr>
      <vt:lpstr>Charts 2026</vt:lpstr>
      <vt:lpstr>Charts 2025</vt:lpstr>
      <vt:lpstr>Data (2)</vt:lpstr>
      <vt:lpstr>EB Downloads</vt:lpstr>
      <vt:lpstr>StarAwards 2025</vt:lpstr>
    </vt:vector>
  </TitlesOfParts>
  <Manager/>
  <Company>Ericsson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 Siva X</dc:creator>
  <cp:keywords/>
  <dc:description/>
  <cp:lastModifiedBy>R Siva X</cp:lastModifiedBy>
  <cp:revision/>
  <dcterms:created xsi:type="dcterms:W3CDTF">2024-03-05T15:41:35Z</dcterms:created>
  <dcterms:modified xsi:type="dcterms:W3CDTF">2026-07-07T04:07:28Z</dcterms:modified>
  <cp:category/>
  <cp:contentStatus/>
</cp:coreProperties>
</file>