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56" firstSheet="1" activeTab="2" autoFilterDateGrouping="1"/>
  </bookViews>
  <sheets>
    <sheet xmlns:r="http://schemas.openxmlformats.org/officeDocument/2006/relationships" name="Monthly Data 2024" sheetId="1" state="visible" r:id="rId1"/>
    <sheet xmlns:r="http://schemas.openxmlformats.org/officeDocument/2006/relationships" name="Monthly Data 2025" sheetId="2" state="visible" r:id="rId2"/>
    <sheet xmlns:r="http://schemas.openxmlformats.org/officeDocument/2006/relationships" name="Monthly Data 2026" sheetId="3" state="visible" r:id="rId3"/>
    <sheet xmlns:r="http://schemas.openxmlformats.org/officeDocument/2006/relationships" name="Star Awards 2026" sheetId="4" state="visible" r:id="rId4"/>
    <sheet xmlns:r="http://schemas.openxmlformats.org/officeDocument/2006/relationships" name="Top 5 and Assets" sheetId="5" state="visible" r:id="rId5"/>
    <sheet xmlns:r="http://schemas.openxmlformats.org/officeDocument/2006/relationships" name="Unused Assets" sheetId="6" state="visible" r:id="rId6"/>
    <sheet xmlns:r="http://schemas.openxmlformats.org/officeDocument/2006/relationships" name="Bottom Assets" sheetId="7" state="visible" r:id="rId7"/>
    <sheet xmlns:r="http://schemas.openxmlformats.org/officeDocument/2006/relationships" name="3 Years Trend" sheetId="8" state="visible" r:id="rId8"/>
    <sheet xmlns:r="http://schemas.openxmlformats.org/officeDocument/2006/relationships" name="Charts 2026" sheetId="9" state="visible" r:id="rId9"/>
    <sheet xmlns:r="http://schemas.openxmlformats.org/officeDocument/2006/relationships" name="Charts 2025" sheetId="10" state="visible" r:id="rId10"/>
    <sheet xmlns:r="http://schemas.openxmlformats.org/officeDocument/2006/relationships" name="Data (2)" sheetId="11" state="hidden" r:id="rId11"/>
    <sheet xmlns:r="http://schemas.openxmlformats.org/officeDocument/2006/relationships" name="EB Downloads" sheetId="12" state="hidden" r:id="rId12"/>
    <sheet xmlns:r="http://schemas.openxmlformats.org/officeDocument/2006/relationships" name="StarAwards 2025" sheetId="13" state="visible" r:id="rId13"/>
  </sheets>
  <definedNames/>
  <calcPr calcId="191028" calcMode="manual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  <font>
      <name val="Ericsson Hilda"/>
      <color theme="1"/>
      <sz val="9"/>
    </font>
    <font>
      <name val="Ericsson Hilda"/>
      <b val="1"/>
      <color theme="1"/>
      <sz val="9"/>
    </font>
    <font>
      <name val="Calibri"/>
      <family val="2"/>
      <color theme="1"/>
      <sz val="9"/>
      <scheme val="minor"/>
    </font>
    <font>
      <name val="Ericsson Hilda"/>
      <color theme="9"/>
      <sz val="9"/>
    </font>
    <font>
      <name val="Calibri"/>
      <family val="2"/>
      <color theme="9"/>
      <sz val="9"/>
      <scheme val="minor"/>
    </font>
    <font>
      <name val="Ericsson Hilda"/>
      <color rgb="FFFF0000"/>
      <sz val="9"/>
    </font>
    <font>
      <name val="Calibri"/>
      <family val="2"/>
      <color rgb="FFFF0000"/>
      <sz val="9"/>
      <scheme val="minor"/>
    </font>
    <font>
      <name val="Ericsson Hilda"/>
      <color theme="1"/>
      <sz val="11"/>
    </font>
  </fonts>
  <fills count="18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5999938962981048"/>
        <bgColor theme="4" tint="0.799981688894314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theme="4" tint="0.799981688894314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1" fillId="0" borderId="0"/>
    <xf numFmtId="9" fontId="1" fillId="0" borderId="0"/>
  </cellStyleXfs>
  <cellXfs count="14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10" fontId="0" fillId="0" borderId="0" applyAlignment="1" pivotButton="0" quotePrefix="0" xfId="0">
      <alignment horizont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vertical="center"/>
    </xf>
    <xf numFmtId="1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9" fontId="2" fillId="0" borderId="2" applyAlignment="1" pivotButton="0" quotePrefix="0" xfId="0">
      <alignment horizontal="center" vertical="center"/>
    </xf>
    <xf numFmtId="1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10" fontId="0" fillId="0" borderId="12" applyAlignment="1" pivotButton="0" quotePrefix="0" xfId="1">
      <alignment horizont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6" fillId="0" borderId="9" applyAlignment="1" pivotButton="0" quotePrefix="0" xfId="0">
      <alignment horizontal="left" vertical="center" wrapText="1"/>
    </xf>
    <xf numFmtId="0" fontId="5" fillId="0" borderId="13" applyAlignment="1" pivotButton="0" quotePrefix="0" xfId="0">
      <alignment vertical="center"/>
    </xf>
    <xf numFmtId="0" fontId="5" fillId="0" borderId="14" applyAlignment="1" pivotButton="0" quotePrefix="0" xfId="0">
      <alignment horizontal="center" vertical="center"/>
    </xf>
    <xf numFmtId="9" fontId="5" fillId="0" borderId="14" applyAlignment="1" pivotButton="0" quotePrefix="0" xfId="0">
      <alignment horizontal="center" vertical="center"/>
    </xf>
    <xf numFmtId="10" fontId="5" fillId="0" borderId="14" applyAlignment="1" pivotButton="0" quotePrefix="0" xfId="0">
      <alignment horizontal="center" vertical="center"/>
    </xf>
    <xf numFmtId="0" fontId="9" fillId="4" borderId="16" applyAlignment="1" pivotButton="0" quotePrefix="0" xfId="0">
      <alignment horizontal="left" wrapText="1" readingOrder="1"/>
    </xf>
    <xf numFmtId="0" fontId="9" fillId="4" borderId="16" applyAlignment="1" pivotButton="0" quotePrefix="0" xfId="0">
      <alignment horizontal="right" wrapText="1" readingOrder="1"/>
    </xf>
    <xf numFmtId="0" fontId="9" fillId="0" borderId="16" applyAlignment="1" pivotButton="0" quotePrefix="0" xfId="0">
      <alignment horizontal="left" wrapText="1" readingOrder="1"/>
    </xf>
    <xf numFmtId="0" fontId="10" fillId="0" borderId="16" applyAlignment="1" pivotButton="0" quotePrefix="0" xfId="0">
      <alignment horizontal="right" wrapText="1" readingOrder="1"/>
    </xf>
    <xf numFmtId="0" fontId="9" fillId="0" borderId="16" applyAlignment="1" pivotButton="0" quotePrefix="0" xfId="0">
      <alignment horizontal="right" wrapText="1" readingOrder="1"/>
    </xf>
    <xf numFmtId="9" fontId="8" fillId="0" borderId="0" applyAlignment="1" pivotButton="0" quotePrefix="0" xfId="1">
      <alignment horizontal="center"/>
    </xf>
    <xf numFmtId="0" fontId="0" fillId="0" borderId="0" applyAlignment="1" pivotButton="0" quotePrefix="0" xfId="0">
      <alignment vertical="center"/>
    </xf>
    <xf numFmtId="0" fontId="8" fillId="0" borderId="0" pivotButton="0" quotePrefix="0" xfId="0"/>
    <xf numFmtId="0" fontId="6" fillId="5" borderId="9" applyAlignment="1" pivotButton="0" quotePrefix="0" xfId="0">
      <alignment horizontal="center" vertical="center" wrapText="1"/>
    </xf>
    <xf numFmtId="0" fontId="6" fillId="6" borderId="9" applyAlignment="1" pivotButton="0" quotePrefix="0" xfId="0">
      <alignment horizontal="left" vertical="center" wrapText="1"/>
    </xf>
    <xf numFmtId="164" fontId="0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left"/>
    </xf>
    <xf numFmtId="0" fontId="8" fillId="7" borderId="2" pivotButton="0" quotePrefix="0" xfId="0"/>
    <xf numFmtId="0" fontId="8" fillId="8" borderId="2" pivotButton="0" quotePrefix="0" xfId="0"/>
    <xf numFmtId="0" fontId="0" fillId="0" borderId="2" pivotButton="0" quotePrefix="0" xfId="0"/>
    <xf numFmtId="0" fontId="8" fillId="7" borderId="2" applyAlignment="1" pivotButton="0" quotePrefix="0" xfId="0">
      <alignment horizont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/>
    </xf>
    <xf numFmtId="0" fontId="11" fillId="0" borderId="2" applyAlignment="1" pivotButton="0" quotePrefix="0" xfId="0">
      <alignment horizontal="center" vertical="center"/>
    </xf>
    <xf numFmtId="10" fontId="0" fillId="0" borderId="2" applyAlignment="1" pivotButton="0" quotePrefix="0" xfId="1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16" applyAlignment="1" pivotButton="0" quotePrefix="0" xfId="0">
      <alignment horizontal="right" wrapText="1" readingOrder="1"/>
    </xf>
    <xf numFmtId="0" fontId="8" fillId="0" borderId="14" applyAlignment="1" pivotButton="0" quotePrefix="0" xfId="0">
      <alignment horizontal="center"/>
    </xf>
    <xf numFmtId="10" fontId="8" fillId="0" borderId="15" applyAlignment="1" pivotButton="0" quotePrefix="0" xfId="1">
      <alignment horizontal="center"/>
    </xf>
    <xf numFmtId="0" fontId="13" fillId="0" borderId="14" applyAlignment="1" pivotButton="0" quotePrefix="0" xfId="0">
      <alignment horizontal="center" vertical="center"/>
    </xf>
    <xf numFmtId="0" fontId="8" fillId="9" borderId="24" applyAlignment="1" pivotButton="0" quotePrefix="0" xfId="0">
      <alignment horizontal="left"/>
    </xf>
    <xf numFmtId="1" fontId="0" fillId="0" borderId="0" pivotButton="0" quotePrefix="0" xfId="0"/>
    <xf numFmtId="1" fontId="8" fillId="9" borderId="24" pivotButton="0" quotePrefix="0" xfId="0"/>
    <xf numFmtId="0" fontId="8" fillId="0" borderId="2" pivotButton="0" quotePrefix="0" xfId="0"/>
    <xf numFmtId="10" fontId="0" fillId="0" borderId="2" pivotButton="0" quotePrefix="0" xfId="1"/>
    <xf numFmtId="0" fontId="0" fillId="0" borderId="0" applyAlignment="1" pivotButton="0" quotePrefix="0" xfId="0">
      <alignment vertical="center" wrapText="1"/>
    </xf>
    <xf numFmtId="0" fontId="8" fillId="9" borderId="2" pivotButton="0" quotePrefix="0" xfId="0"/>
    <xf numFmtId="0" fontId="14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/>
    </xf>
    <xf numFmtId="0" fontId="14" fillId="0" borderId="2" pivotButton="0" quotePrefix="0" xfId="0"/>
    <xf numFmtId="2" fontId="15" fillId="11" borderId="2" applyAlignment="1" applyProtection="1" pivotButton="0" quotePrefix="0" xfId="0">
      <alignment horizontal="center" vertical="center" wrapText="1"/>
      <protection locked="0" hidden="0"/>
    </xf>
    <xf numFmtId="2" fontId="15" fillId="11" borderId="2" applyAlignment="1" applyProtection="1" pivotButton="0" quotePrefix="0" xfId="0">
      <alignment horizontal="left" vertical="center" wrapText="1"/>
      <protection locked="0" hidden="0"/>
    </xf>
    <xf numFmtId="0" fontId="14" fillId="10" borderId="2" applyAlignment="1" pivotButton="0" quotePrefix="0" xfId="0">
      <alignment horizontal="center"/>
    </xf>
    <xf numFmtId="0" fontId="14" fillId="10" borderId="2" applyAlignment="1" pivotButton="0" quotePrefix="0" xfId="0">
      <alignment horizontal="center" vertical="center"/>
    </xf>
    <xf numFmtId="0" fontId="16" fillId="10" borderId="2" pivotButton="0" quotePrefix="0" xfId="0"/>
    <xf numFmtId="0" fontId="16" fillId="10" borderId="2" applyAlignment="1" pivotButton="0" quotePrefix="0" xfId="0">
      <alignment horizontal="left"/>
    </xf>
    <xf numFmtId="0" fontId="17" fillId="10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left" vertical="center"/>
    </xf>
    <xf numFmtId="0" fontId="18" fillId="10" borderId="2" pivotButton="0" quotePrefix="0" xfId="0"/>
    <xf numFmtId="0" fontId="16" fillId="10" borderId="2" applyAlignment="1" pivotButton="0" quotePrefix="0" xfId="0">
      <alignment horizontal="center"/>
    </xf>
    <xf numFmtId="0" fontId="18" fillId="10" borderId="2" applyAlignment="1" pivotButton="0" quotePrefix="0" xfId="0">
      <alignment horizontal="center"/>
    </xf>
    <xf numFmtId="0" fontId="17" fillId="10" borderId="2" applyAlignment="1" pivotButton="0" quotePrefix="0" xfId="0">
      <alignment horizontal="left"/>
    </xf>
    <xf numFmtId="0" fontId="19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left"/>
    </xf>
    <xf numFmtId="0" fontId="19" fillId="10" borderId="2" applyAlignment="1" pivotButton="0" quotePrefix="0" xfId="0">
      <alignment horizontal="center"/>
    </xf>
    <xf numFmtId="0" fontId="19" fillId="10" borderId="2" applyAlignment="1" pivotButton="0" quotePrefix="0" xfId="0">
      <alignment horizontal="left"/>
    </xf>
    <xf numFmtId="0" fontId="19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left" vertical="center"/>
    </xf>
    <xf numFmtId="0" fontId="20" fillId="0" borderId="2" pivotButton="0" quotePrefix="0" xfId="0"/>
    <xf numFmtId="0" fontId="20" fillId="0" borderId="2" applyAlignment="1" pivotButton="0" quotePrefix="0" xfId="0">
      <alignment horizontal="left"/>
    </xf>
    <xf numFmtId="0" fontId="16" fillId="0" borderId="2" applyAlignment="1" pivotButton="0" quotePrefix="0" xfId="0">
      <alignment horizontal="left"/>
    </xf>
    <xf numFmtId="0" fontId="14" fillId="0" borderId="2" applyAlignment="1" pivotButton="0" quotePrefix="0" xfId="0">
      <alignment horizontal="left"/>
    </xf>
    <xf numFmtId="0" fontId="16" fillId="0" borderId="2" pivotButton="0" quotePrefix="0" xfId="0"/>
    <xf numFmtId="0" fontId="2" fillId="0" borderId="2" applyAlignment="1" pivotButton="0" quotePrefix="0" xfId="0">
      <alignment vertical="center"/>
    </xf>
    <xf numFmtId="10" fontId="0" fillId="0" borderId="14" applyAlignment="1" pivotButton="0" quotePrefix="0" xfId="0">
      <alignment horizontal="center"/>
    </xf>
    <xf numFmtId="0" fontId="8" fillId="12" borderId="2" applyAlignment="1" pivotButton="0" quotePrefix="0" xfId="0">
      <alignment horizontal="center"/>
    </xf>
    <xf numFmtId="0" fontId="8" fillId="12" borderId="2" pivotButton="0" quotePrefix="0" xfId="0"/>
    <xf numFmtId="0" fontId="0" fillId="13" borderId="2" pivotButton="0" quotePrefix="0" xfId="0"/>
    <xf numFmtId="0" fontId="0" fillId="0" borderId="2" applyAlignment="1" pivotButton="0" quotePrefix="0" xfId="0">
      <alignment horizontal="left"/>
    </xf>
    <xf numFmtId="0" fontId="21" fillId="0" borderId="0" pivotButton="0" quotePrefix="0" xfId="0"/>
    <xf numFmtId="0" fontId="6" fillId="14" borderId="9" applyAlignment="1" pivotButton="0" quotePrefix="0" xfId="0">
      <alignment horizontal="left" vertical="center" wrapText="1"/>
    </xf>
    <xf numFmtId="0" fontId="6" fillId="15" borderId="9" applyAlignment="1" pivotButton="0" quotePrefix="0" xfId="0">
      <alignment horizontal="left" vertical="center" wrapText="1"/>
    </xf>
    <xf numFmtId="0" fontId="6" fillId="16" borderId="9" applyAlignment="1" pivotButton="0" quotePrefix="0" xfId="0">
      <alignment horizontal="center" vertical="center" wrapText="1"/>
    </xf>
    <xf numFmtId="0" fontId="6" fillId="17" borderId="9" applyAlignment="1" pivotButton="0" quotePrefix="0" xfId="0">
      <alignment horizontal="center" vertical="center" wrapText="1"/>
    </xf>
    <xf numFmtId="0" fontId="6" fillId="17" borderId="10" applyAlignment="1" pivotButton="0" quotePrefix="0" xfId="0">
      <alignment horizontal="center" vertical="center" wrapText="1"/>
    </xf>
    <xf numFmtId="0" fontId="0" fillId="0" borderId="25" pivotButton="0" quotePrefix="0" xfId="0"/>
    <xf numFmtId="3" fontId="0" fillId="0" borderId="0" pivotButton="0" quotePrefix="0" xfId="0"/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/>
    </xf>
    <xf numFmtId="0" fontId="7" fillId="16" borderId="7" applyAlignment="1" pivotButton="0" quotePrefix="0" xfId="0">
      <alignment horizontal="center" vertical="center"/>
    </xf>
    <xf numFmtId="0" fontId="7" fillId="16" borderId="5" applyAlignment="1" pivotButton="0" quotePrefix="0" xfId="0">
      <alignment horizontal="center" vertical="center"/>
    </xf>
    <xf numFmtId="0" fontId="7" fillId="16" borderId="6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/>
    </xf>
    <xf numFmtId="0" fontId="8" fillId="17" borderId="0" applyAlignment="1" pivotButton="0" quotePrefix="0" xfId="0">
      <alignment horizontal="center"/>
    </xf>
    <xf numFmtId="0" fontId="7" fillId="14" borderId="7" applyAlignment="1" pivotButton="0" quotePrefix="0" xfId="0">
      <alignment horizontal="center" vertical="center"/>
    </xf>
    <xf numFmtId="0" fontId="7" fillId="14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15" borderId="6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8" fillId="9" borderId="2" applyAlignment="1" pivotButton="0" quotePrefix="0" xfId="0">
      <alignment horizontal="center"/>
    </xf>
    <xf numFmtId="0" fontId="7" fillId="6" borderId="20" applyAlignment="1" pivotButton="0" quotePrefix="0" xfId="0">
      <alignment horizontal="center" vertical="center" wrapText="1"/>
    </xf>
    <xf numFmtId="0" fontId="7" fillId="6" borderId="2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9" fillId="0" borderId="17" applyAlignment="1" pivotButton="0" quotePrefix="0" xfId="0">
      <alignment horizontal="center" wrapText="1" readingOrder="1"/>
    </xf>
    <xf numFmtId="0" fontId="9" fillId="0" borderId="18" applyAlignment="1" pivotButton="0" quotePrefix="0" xfId="0">
      <alignment horizontal="center" wrapText="1" readingOrder="1"/>
    </xf>
    <xf numFmtId="0" fontId="9" fillId="0" borderId="19" applyAlignment="1" pivotButton="0" quotePrefix="0" xfId="0">
      <alignment horizontal="center" wrapText="1" readingOrder="1"/>
    </xf>
    <xf numFmtId="0" fontId="8" fillId="7" borderId="14" applyAlignment="1" pivotButton="0" quotePrefix="0" xfId="0">
      <alignment horizontal="center"/>
    </xf>
    <xf numFmtId="0" fontId="8" fillId="7" borderId="9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8" borderId="10" applyAlignment="1" pivotButton="0" quotePrefix="0" xfId="0">
      <alignment horizontal="center"/>
    </xf>
    <xf numFmtId="0" fontId="8" fillId="8" borderId="22" applyAlignment="1" pivotButton="0" quotePrefix="0" xfId="0">
      <alignment horizontal="center"/>
    </xf>
    <xf numFmtId="0" fontId="8" fillId="7" borderId="23" applyAlignment="1" pivotButton="0" quotePrefix="0" xfId="0">
      <alignment horizontal="center" vertical="center"/>
    </xf>
    <xf numFmtId="0" fontId="8" fillId="7" borderId="8" applyAlignment="1" pivotButton="0" quotePrefix="0" xfId="0">
      <alignment horizontal="center" vertical="center"/>
    </xf>
    <xf numFmtId="0" fontId="7" fillId="6" borderId="2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5" borderId="27" applyAlignment="1" pivotButton="0" quotePrefix="0" xfId="0">
      <alignment horizontal="center" vertical="center"/>
    </xf>
    <xf numFmtId="0" fontId="7" fillId="16" borderId="2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9" pivotButton="0" quotePrefix="0" xfId="0"/>
    <xf numFmtId="0" fontId="0" fillId="0" borderId="11" pivotButton="0" quotePrefix="0" xfId="0"/>
    <xf numFmtId="0" fontId="7" fillId="6" borderId="30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16" applyAlignment="1" pivotButton="0" quotePrefix="0" xfId="0">
      <alignment horizontal="center" wrapText="1" readingOrder="1"/>
    </xf>
    <xf numFmtId="0" fontId="0" fillId="0" borderId="18" pivotButton="0" quotePrefix="0" xfId="0"/>
    <xf numFmtId="0" fontId="0" fillId="0" borderId="19" pivotButton="0" quotePrefix="0" xfId="0"/>
    <xf numFmtId="0" fontId="0" fillId="0" borderId="8" pivotButton="0" quotePrefix="0" xfId="0"/>
    <xf numFmtId="0" fontId="0" fillId="0" borderId="9" pivotButton="0" quotePrefix="0" xfId="0"/>
  </cellXfs>
  <cellStyles count="2">
    <cellStyle name="Normal" xfId="0" builtinId="0"/>
    <cellStyle name="Percent" xfId="1" builtinId="5"/>
  </cellStyles>
  <dxfs count="103"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3" formatCode="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IN"/>
              <a:t>4 Years Savings Trend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 Years Trend'!$B$1:$B$2</f>
              <strCache>
                <ptCount val="2"/>
                <pt idx="0">
                  <v>Monetization</v>
                </pt>
                <pt idx="1">
                  <v xml:space="preserve">Savings 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'3 Years Trend'!$A$3:$A$6</f>
              <numCache>
                <formatCode>General</formatCod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</v>
                </pt>
              </numCache>
            </numRef>
          </cat>
          <val>
            <numRef>
              <f>'3 Years Trend'!$B$3:$B$6</f>
              <numCache>
                <formatCode>General</formatCode>
                <ptCount val="4"/>
                <pt idx="0">
                  <v>52196</v>
                </pt>
                <pt idx="1">
                  <v>77725</v>
                </pt>
                <pt idx="2">
                  <v>100456.29</v>
                </pt>
                <pt idx="3">
                  <v>152115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646630783"/>
        <axId val="646628383"/>
      </barChart>
      <lineChart>
        <grouping val="standard"/>
        <varyColors val="0"/>
        <ser>
          <idx val="1"/>
          <order val="1"/>
          <tx>
            <strRef>
              <f>'3 Years Trend'!$D$1:$D$2</f>
              <strCache>
                <ptCount val="2"/>
                <pt idx="0">
                  <v>Monetization</v>
                </pt>
                <pt idx="1">
                  <v>Savings Percentage</v>
                </pt>
              </strCache>
            </strRef>
          </tx>
          <spPr>
            <a:ln xmlns:a="http://schemas.openxmlformats.org/drawingml/2006/main" w="3492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'3 Years Trend'!$A$3:$A$6</f>
              <numCache>
                <formatCode>General</formatCod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</v>
                </pt>
              </numCache>
            </numRef>
          </cat>
          <val>
            <numRef>
              <f>'3 Years Trend'!$D$3:$D$6</f>
              <numCache>
                <formatCode>0.00%</formatCode>
                <ptCount val="4"/>
                <pt idx="0">
                  <v>0.04540389511766338</v>
                </pt>
                <pt idx="1">
                  <v>0.08058103357292519</v>
                </pt>
                <pt idx="2">
                  <v>0.1447</v>
                </pt>
                <pt idx="3">
                  <v>0.1953272468122809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646634143"/>
        <axId val="646633663"/>
      </lineChart>
      <catAx>
        <axId val="6466307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46628383"/>
        <crosses val="autoZero"/>
        <auto val="1"/>
        <lblAlgn val="ctr"/>
        <lblOffset val="100"/>
        <noMultiLvlLbl val="0"/>
      </catAx>
      <valAx>
        <axId val="64662838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46630783"/>
        <crosses val="autoZero"/>
        <crossBetween val="between"/>
      </valAx>
      <catAx>
        <axId val="646634143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646633663"/>
        <crosses val="autoZero"/>
        <auto val="1"/>
        <lblAlgn val="ctr"/>
        <lblOffset val="100"/>
        <noMultiLvlLbl val="0"/>
      </catAx>
      <valAx>
        <axId val="646633663"/>
        <scaling>
          <orientation val="minMax"/>
        </scaling>
        <delete val="0"/>
        <axPos val="r"/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46634143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IN"/>
              <a:t>Monetization Savings in hours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'Monthly Data 2026'!$H$2</f>
              <strCache>
                <ptCount val="1"/>
                <pt idx="0">
                  <v>Total Savings - Billing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2026'!$A$3:$A$5</f>
              <strCache>
                <ptCount val="3"/>
                <pt idx="0">
                  <v>Jan</v>
                </pt>
                <pt idx="1">
                  <v>Feb</v>
                </pt>
                <pt idx="2">
                  <v>Mar</v>
                </pt>
              </strCache>
            </strRef>
          </cat>
          <val>
            <numRef>
              <f>'Monthly Data 2026'!$H$3:$H$5</f>
              <numCache>
                <formatCode>General</formatCode>
                <ptCount val="3"/>
                <pt idx="0">
                  <v>58.38</v>
                </pt>
                <pt idx="1">
                  <v>1379.1</v>
                </pt>
                <pt idx="2">
                  <v>1221</v>
                </pt>
              </numCache>
            </numRef>
          </val>
        </ser>
        <ser>
          <idx val="1"/>
          <order val="1"/>
          <tx>
            <strRef>
              <f>'Monthly Data 2026'!$P$2</f>
              <strCache>
                <ptCount val="1"/>
                <pt idx="0">
                  <v>Total Savings - Charging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2026'!$A$3:$A$5</f>
              <strCache>
                <ptCount val="3"/>
                <pt idx="0">
                  <v>Jan</v>
                </pt>
                <pt idx="1">
                  <v>Feb</v>
                </pt>
                <pt idx="2">
                  <v>Mar</v>
                </pt>
              </strCache>
            </strRef>
          </cat>
          <val>
            <numRef>
              <f>'Monthly Data 2026'!$P$3:$P$5</f>
              <numCache>
                <formatCode>General</formatCode>
                <ptCount val="3"/>
                <pt idx="0">
                  <v>4161.049999999999</v>
                </pt>
                <pt idx="1">
                  <v>1032.71</v>
                </pt>
                <pt idx="2">
                  <v>3087.26</v>
                </pt>
              </numCache>
            </numRef>
          </val>
        </ser>
        <ser>
          <idx val="2"/>
          <order val="2"/>
          <tx>
            <strRef>
              <f>'Monthly Data 2026'!$X$2</f>
              <strCache>
                <ptCount val="1"/>
                <pt idx="0">
                  <v>Total Savings - SDC CS&amp;DFE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2026'!$A$3:$A$5</f>
              <strCache>
                <ptCount val="3"/>
                <pt idx="0">
                  <v>Jan</v>
                </pt>
                <pt idx="1">
                  <v>Feb</v>
                </pt>
                <pt idx="2">
                  <v>Mar</v>
                </pt>
              </strCache>
            </strRef>
          </cat>
          <val>
            <numRef>
              <f>'Monthly Data 2026'!$X$3:$X$5</f>
              <numCache>
                <formatCode>General</formatCode>
                <ptCount val="3"/>
                <pt idx="0">
                  <v>1476</v>
                </pt>
                <pt idx="1">
                  <v>2344</v>
                </pt>
                <pt idx="2">
                  <v>5366</v>
                </pt>
              </numCache>
            </numRef>
          </val>
        </ser>
        <ser>
          <idx val="3"/>
          <order val="3"/>
          <tx>
            <strRef>
              <f>'Monthly Data 2026'!$AF$2</f>
              <strCache>
                <ptCount val="1"/>
                <pt idx="0">
                  <v>Total Savings - SDC Billing&amp;MW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4">
                    <a:tint val="94000"/>
                    <a:satMod val="103000"/>
                    <a:lumMod val="102000"/>
                  </a:schemeClr>
                </a:gs>
                <a:gs pos="50000">
                  <a:schemeClr val="accent4">
                    <a:shade val="100000"/>
                    <a:satMod val="110000"/>
                    <a:lumMod val="100000"/>
                  </a:schemeClr>
                </a:gs>
                <a:gs pos="100000">
                  <a:schemeClr val="accent4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2026'!$A$3:$A$5</f>
              <strCache>
                <ptCount val="3"/>
                <pt idx="0">
                  <v>Jan</v>
                </pt>
                <pt idx="1">
                  <v>Feb</v>
                </pt>
                <pt idx="2">
                  <v>Mar</v>
                </pt>
              </strCache>
            </strRef>
          </cat>
          <val>
            <numRef>
              <f>'Monthly Data 2026'!$AF$3:$AF$5</f>
              <numCache>
                <formatCode>General</formatCode>
                <ptCount val="3"/>
                <pt idx="0">
                  <v>0</v>
                </pt>
                <pt idx="1">
                  <v>195.4</v>
                </pt>
                <pt idx="2">
                  <v>3326</v>
                </pt>
              </numCache>
            </numRef>
          </val>
        </ser>
        <ser>
          <idx val="4"/>
          <order val="4"/>
          <tx>
            <strRef>
              <f>'Monthly Data 2026'!$AI$2</f>
              <strCache>
                <ptCount val="1"/>
                <pt idx="0">
                  <v>Total Savings - Monetization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tint val="94000"/>
                    <a:satMod val="103000"/>
                    <a:lumMod val="102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2026'!$A$3:$A$5</f>
              <strCache>
                <ptCount val="3"/>
                <pt idx="0">
                  <v>Jan</v>
                </pt>
                <pt idx="1">
                  <v>Feb</v>
                </pt>
                <pt idx="2">
                  <v>Mar</v>
                </pt>
              </strCache>
            </strRef>
          </cat>
          <val>
            <numRef>
              <f>'Monthly Data 2026'!$AI$3:$AI$5</f>
              <numCache>
                <formatCode>General</formatCode>
                <ptCount val="3"/>
                <pt idx="0">
                  <v>5695.429999999999</v>
                </pt>
                <pt idx="1">
                  <v>4951.209999999999</v>
                </pt>
                <pt idx="2">
                  <v>13000.26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467026096"/>
        <axId val="467019856"/>
      </barChart>
      <catAx>
        <axId val="4670260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7019856"/>
        <crosses val="autoZero"/>
        <auto val="1"/>
        <lblAlgn val="ctr"/>
        <lblOffset val="100"/>
        <noMultiLvlLbl val="0"/>
      </catAx>
      <valAx>
        <axId val="4670198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70260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IN"/>
              <a:t>Monetization Savings %</a:t>
            </a:r>
          </a:p>
          <a:p xmlns:a="http://schemas.openxmlformats.org/drawingml/2006/main">
            <a:pPr>
              <a:defRPr/>
            </a:pPr>
            <a:r>
              <a:t>None</a:t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8"/>
          <order val="0"/>
          <tx>
            <strRef>
              <f>'Monthly Data 2026'!$J$2</f>
              <strCache>
                <ptCount val="1"/>
                <pt idx="0">
                  <v>Billing Savings %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('Monthly Data 2026'!$A$3:$A$5,'Monthly Data 2026'!$A$15)</f>
              <strCache>
                <ptCount val="4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YTD</v>
                </pt>
              </strCache>
            </strRef>
          </cat>
          <val>
            <numRef>
              <f>('Monthly Data 2026'!$J$3:$J$5,'Monthly Data 2026'!$J$15)</f>
              <numCache>
                <formatCode>0%</formatCode>
                <ptCount val="4"/>
                <pt idx="0">
                  <v>0.006055545471047377</v>
                </pt>
                <pt idx="1">
                  <v>0.1287194325182005</v>
                </pt>
                <pt idx="2">
                  <v>0.1030032056689725</v>
                </pt>
                <pt idx="3">
                  <v>0.08253906159040633</v>
                </pt>
              </numCache>
            </numRef>
          </val>
        </ser>
        <ser>
          <idx val="9"/>
          <order val="1"/>
          <tx>
            <strRef>
              <f>'Monthly Data 2026'!$R$2</f>
              <strCache>
                <ptCount val="1"/>
                <pt idx="0">
                  <v>Charging Savings %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tint val="94000"/>
                    <a:satMod val="103000"/>
                    <a:lumMod val="102000"/>
                    <a:lumOff val="20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  <a:lumOff val="2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  <a:lumOff val="20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('Monthly Data 2026'!$A$3:$A$5,'Monthly Data 2026'!$A$15)</f>
              <strCache>
                <ptCount val="4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YTD</v>
                </pt>
              </strCache>
            </strRef>
          </cat>
          <val>
            <numRef>
              <f>('Monthly Data 2026'!$R$3:$R$5,'Monthly Data 2026'!$R$15)</f>
              <numCache>
                <formatCode>0%</formatCode>
                <ptCount val="4"/>
                <pt idx="0">
                  <v>0.1128603976240202</v>
                </pt>
                <pt idx="1">
                  <v>0.02587856462687315</v>
                </pt>
                <pt idx="2">
                  <v>0.06948906095255244</v>
                </pt>
                <pt idx="3">
                  <v>0.06832355634761517</v>
                </pt>
              </numCache>
            </numRef>
          </val>
        </ser>
        <ser>
          <idx val="10"/>
          <order val="2"/>
          <tx>
            <strRef>
              <f>'Monthly Data 2026'!$Z$2</f>
              <strCache>
                <ptCount val="1"/>
                <pt idx="0">
                  <v>SDC CS&amp;DFE Savings %</v>
                </pt>
              </strCache>
            </strRef>
          </tx>
          <spPr>
            <a:solidFill xmlns:a="http://schemas.openxmlformats.org/drawingml/2006/main">
              <a:schemeClr val="accent2">
                <a:lumMod val="7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('Monthly Data 2026'!$A$3:$A$5,'Monthly Data 2026'!$A$15)</f>
              <strCache>
                <ptCount val="4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YTD</v>
                </pt>
              </strCache>
            </strRef>
          </cat>
          <val>
            <numRef>
              <f>('Monthly Data 2026'!$Z$3:$Z$5,'Monthly Data 2026'!$Z$15)</f>
              <numCache>
                <formatCode>0%</formatCode>
                <ptCount val="4"/>
                <pt idx="0">
                  <v>0.08179551122194513</v>
                </pt>
                <pt idx="1">
                  <v>0.1208621223058678</v>
                </pt>
                <pt idx="2">
                  <v>0.2532207069038743</v>
                </pt>
                <pt idx="3">
                  <v>0.1566774688725908</v>
                </pt>
              </numCache>
            </numRef>
          </val>
        </ser>
        <ser>
          <idx val="11"/>
          <order val="3"/>
          <tx>
            <strRef>
              <f>'Monthly Data 2026'!$AH$2</f>
              <strCache>
                <ptCount val="1"/>
                <pt idx="0">
                  <v>SDC Billing&amp;MW Savings %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('Monthly Data 2026'!$A$3:$A$5,'Monthly Data 2026'!$A$15)</f>
              <strCache>
                <ptCount val="4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YTD</v>
                </pt>
              </strCache>
            </strRef>
          </cat>
          <val>
            <numRef>
              <f>('Monthly Data 2026'!$AH$3:$AH$5,'Monthly Data 2026'!$AH$15)</f>
              <numCache>
                <formatCode>0.00%</formatCode>
                <ptCount val="4"/>
                <pt idx="0">
                  <v>0</v>
                </pt>
                <pt idx="1">
                  <v>0.02120639881921382</v>
                </pt>
                <pt idx="2">
                  <v>0.3591133377241759</v>
                </pt>
                <pt idx="3">
                  <formatCode>0%</formatCode>
                  <v>0.1329505477121587</v>
                </pt>
              </numCache>
            </numRef>
          </val>
        </ser>
        <ser>
          <idx val="12"/>
          <order val="4"/>
          <tx>
            <strRef>
              <f>'Monthly Data 2026'!$AK$2</f>
              <strCache>
                <ptCount val="1"/>
                <pt idx="0">
                  <v>Monetization Savings %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6">
                    <a:tint val="94000"/>
                    <a:satMod val="103000"/>
                    <a:lumMod val="102000"/>
                  </a:schemeClr>
                </a:gs>
                <a:gs pos="50000">
                  <a:schemeClr val="accent6">
                    <a:shade val="100000"/>
                    <a:satMod val="110000"/>
                    <a:lumMod val="100000"/>
                  </a:schemeClr>
                </a:gs>
                <a:gs pos="100000">
                  <a:schemeClr val="accent6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('Monthly Data 2026'!$A$3:$A$5,'Monthly Data 2026'!$A$15)</f>
              <strCache>
                <ptCount val="4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YTD</v>
                </pt>
              </strCache>
            </strRef>
          </cat>
          <val>
            <numRef>
              <f>('Monthly Data 2026'!$AK$3:$AK$5,'Monthly Data 2026'!$AK$15)</f>
              <numCache>
                <formatCode>0.00%</formatCode>
                <ptCount val="4"/>
                <pt idx="0">
                  <v>0.07848686543268078</v>
                </pt>
                <pt idx="1">
                  <v>0.06249302647289727</v>
                </pt>
                <pt idx="2">
                  <v>0.1498853400080936</v>
                </pt>
                <pt idx="3">
                  <v>0.0991366684429759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549754816"/>
        <axId val="549745696"/>
      </barChart>
      <lineChart>
        <grouping val="standard"/>
        <varyColors val="0"/>
        <ser>
          <idx val="13"/>
          <order val="13"/>
          <tx>
            <strRef>
              <f>'Monthly Data 2026'!$B$2</f>
              <strCache>
                <ptCount val="1"/>
                <pt idx="0">
                  <v>Monetization KPI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('Monthly Data 2026'!$A$3:$A$5,'Monthly Data 2026'!$A$15)</f>
              <strCache>
                <ptCount val="4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YTD</v>
                </pt>
              </strCache>
            </strRef>
          </cat>
          <val>
            <numRef>
              <f>('Monthly Data 2026'!$B$3:$B$5,'Monthly Data 2026'!$B$15)</f>
              <numCache>
                <formatCode>0.00%</formatCode>
                <ptCount val="4"/>
                <pt idx="0">
                  <v>0.16</v>
                </pt>
                <pt idx="1">
                  <v>0.16</v>
                </pt>
                <pt idx="2">
                  <v>0.16</v>
                </pt>
                <pt idx="3">
                  <v>0.16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549754816"/>
        <axId val="549745696"/>
      </lineChart>
      <catAx>
        <axId val="549754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49745696"/>
        <crosses val="autoZero"/>
        <auto val="1"/>
        <lblAlgn val="ctr"/>
        <lblOffset val="100"/>
        <noMultiLvlLbl val="0"/>
      </catAx>
      <valAx>
        <axId val="5497456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49754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IN"/>
              <a:t>Monetization Savings %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1"/>
          <order val="0"/>
          <tx>
            <strRef>
              <f>'Monthly Data 2025'!$J$2</f>
              <strCache>
                <ptCount val="1"/>
                <pt idx="0">
                  <v>Billing Savings %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2025'!$A$3:$A$15</f>
              <strCache>
                <ptCount val="13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  <pt idx="12">
                  <v>YTD</v>
                </pt>
              </strCache>
            </strRef>
          </cat>
          <val>
            <numRef>
              <f>'Monthly Data 2025'!$J$3:$J$15</f>
              <numCache>
                <formatCode>0%</formatCode>
                <ptCount val="13"/>
                <pt idx="0">
                  <v>0.02872884986883348</v>
                </pt>
                <pt idx="1">
                  <v>0.02262555942317255</v>
                </pt>
                <pt idx="2">
                  <v>0.02443349753694582</v>
                </pt>
                <pt idx="3">
                  <v>0.1101608492842207</v>
                </pt>
                <pt idx="4">
                  <v>0.03974377533294731</v>
                </pt>
                <pt idx="5">
                  <v>0.01870380509170545</v>
                </pt>
                <pt idx="6">
                  <v>0.05200357072009521</v>
                </pt>
                <pt idx="7">
                  <v>0.03990385702974777</v>
                </pt>
                <pt idx="8">
                  <v>0.04144134665965281</v>
                </pt>
                <pt idx="9">
                  <v>0.02367424242424242</v>
                </pt>
                <pt idx="10">
                  <v>0.2068491056413392</v>
                </pt>
                <pt idx="11">
                  <v>0.353822914245875</v>
                </pt>
                <pt idx="12">
                  <v>0.08123600581318996</v>
                </pt>
              </numCache>
            </numRef>
          </val>
        </ser>
        <ser>
          <idx val="2"/>
          <order val="1"/>
          <tx>
            <strRef>
              <f>'Monthly Data 2025'!$R$2</f>
              <strCache>
                <ptCount val="1"/>
                <pt idx="0">
                  <v>Charging Savings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  <a:lumOff val="4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2025'!$A$3:$A$15</f>
              <strCache>
                <ptCount val="13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  <pt idx="12">
                  <v>YTD</v>
                </pt>
              </strCache>
            </strRef>
          </cat>
          <val>
            <numRef>
              <f>'Monthly Data 2025'!$R$3:$R$15</f>
              <numCache>
                <formatCode>0.00%</formatCode>
                <ptCount val="13"/>
                <pt idx="0">
                  <v>0.09493286710151749</v>
                </pt>
                <pt idx="1">
                  <v>0.1421061475311457</v>
                </pt>
                <pt idx="2">
                  <v>0.09007512928090546</v>
                </pt>
                <pt idx="3">
                  <v>0.1564189524945339</v>
                </pt>
                <pt idx="4">
                  <v>0.1519074232972334</v>
                </pt>
                <pt idx="5">
                  <v>0.1305656047845722</v>
                </pt>
                <pt idx="6">
                  <v>0.1247477467199087</v>
                </pt>
                <pt idx="7">
                  <v>0.09292074026802809</v>
                </pt>
                <pt idx="8">
                  <v>0.05579579061514196</v>
                </pt>
                <pt idx="9">
                  <v>0.04679284082254379</v>
                </pt>
                <pt idx="10">
                  <v>0.05036563513971621</v>
                </pt>
                <pt idx="11">
                  <v>0.1513393158356386</v>
                </pt>
                <pt idx="12">
                  <v>0.1067395593893406</v>
                </pt>
              </numCache>
            </numRef>
          </val>
        </ser>
        <ser>
          <idx val="3"/>
          <order val="2"/>
          <tx>
            <strRef>
              <f>'Monthly Data 2025'!$U$2</f>
              <strCache>
                <ptCount val="1"/>
                <pt idx="0">
                  <v>Monetization Savings %</v>
                </pt>
              </strCache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2025'!$A$3:$A$15</f>
              <strCache>
                <ptCount val="13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  <pt idx="12">
                  <v>YTD</v>
                </pt>
              </strCache>
            </strRef>
          </cat>
          <val>
            <numRef>
              <f>'Monthly Data 2025'!$U$3:$U$15</f>
              <numCache>
                <formatCode>0.00%</formatCode>
                <ptCount val="13"/>
                <pt idx="0">
                  <v>0.08634259146374174</v>
                </pt>
                <pt idx="1">
                  <v>0.1269919483351505</v>
                </pt>
                <pt idx="2">
                  <v>0.08158518455591895</v>
                </pt>
                <pt idx="3">
                  <v>0.1502296352092973</v>
                </pt>
                <pt idx="4">
                  <v>0.1364198764716464</v>
                </pt>
                <pt idx="5">
                  <v>0.1136348946572476</v>
                </pt>
                <pt idx="6">
                  <v>0.1111427087391248</v>
                </pt>
                <pt idx="7">
                  <v>0.08315894701766079</v>
                </pt>
                <pt idx="8">
                  <v>0.05307142429264592</v>
                </pt>
                <pt idx="9">
                  <v>0.04250237770334533</v>
                </pt>
                <pt idx="10">
                  <v>0.07176153347687034</v>
                </pt>
                <pt idx="11">
                  <v>0.196899184271073</v>
                </pt>
                <pt idx="12">
                  <v>0.1026857429479727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982919648"/>
        <axId val="2102943200"/>
      </barChart>
      <lineChart>
        <grouping val="standard"/>
        <varyColors val="0"/>
        <ser>
          <idx val="4"/>
          <order val="4"/>
          <tx>
            <strRef>
              <f>'Monthly Data 2025'!$B$2</f>
              <strCache>
                <ptCount val="1"/>
                <pt idx="0">
                  <v>Monetization KPI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'Monthly Data 2025'!$A$3:$A$15</f>
              <strCache>
                <ptCount val="13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  <pt idx="12">
                  <v>YTD</v>
                </pt>
              </strCache>
            </strRef>
          </cat>
          <val>
            <numRef>
              <f>'Monthly Data 2025'!$B$3:$B$15</f>
              <numCache>
                <formatCode>0.00%</formatCode>
                <ptCount val="13"/>
                <pt idx="0">
                  <v>0.16</v>
                </pt>
                <pt idx="1">
                  <v>0.16</v>
                </pt>
                <pt idx="2">
                  <v>0.16</v>
                </pt>
                <pt idx="3">
                  <v>0.16</v>
                </pt>
                <pt idx="4">
                  <v>0.16</v>
                </pt>
                <pt idx="5">
                  <v>0.16</v>
                </pt>
                <pt idx="6">
                  <v>0.16</v>
                </pt>
                <pt idx="7">
                  <v>0.16</v>
                </pt>
                <pt idx="8">
                  <v>0.16</v>
                </pt>
                <pt idx="9">
                  <v>0.16</v>
                </pt>
                <pt idx="10">
                  <v>0.16</v>
                </pt>
                <pt idx="11">
                  <v>0.16</v>
                </pt>
                <pt idx="12">
                  <v>0.16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82919648"/>
        <axId val="2102943200"/>
      </lineChart>
      <catAx>
        <axId val="19829196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02943200"/>
        <crosses val="autoZero"/>
        <auto val="1"/>
        <lblAlgn val="ctr"/>
        <lblOffset val="100"/>
        <noMultiLvlLbl val="0"/>
      </catAx>
      <valAx>
        <axId val="21029432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8291964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IN"/>
              <a:t>Monetization Download / Pending Feedback Trend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stacked"/>
        <varyColors val="0"/>
        <ser>
          <idx val="1"/>
          <order val="0"/>
          <tx>
            <strRef>
              <f>'Monthly Data 2025'!$C$2</f>
              <strCache>
                <ptCount val="1"/>
                <pt idx="0">
                  <v>Total Number of Assets Download - Billing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2025'!$C$3:$C$14</f>
              <numCache>
                <formatCode>General</formatCode>
                <ptCount val="12"/>
                <pt idx="0">
                  <v>20</v>
                </pt>
                <pt idx="1">
                  <v>20</v>
                </pt>
                <pt idx="2">
                  <v>9</v>
                </pt>
                <pt idx="3">
                  <v>20</v>
                </pt>
                <pt idx="4">
                  <v>29</v>
                </pt>
                <pt idx="5">
                  <v>22</v>
                </pt>
                <pt idx="6">
                  <v>34</v>
                </pt>
                <pt idx="7">
                  <v>17</v>
                </pt>
                <pt idx="8">
                  <v>8</v>
                </pt>
                <pt idx="9">
                  <v>39</v>
                </pt>
                <pt idx="10">
                  <v>27</v>
                </pt>
                <pt idx="11">
                  <v>31</v>
                </pt>
              </numCache>
            </numRef>
          </val>
        </ser>
        <ser>
          <idx val="2"/>
          <order val="1"/>
          <tx>
            <strRef>
              <f>'Monthly Data 2025'!$K$2</f>
              <strCache>
                <ptCount val="1"/>
                <pt idx="0">
                  <v>Total Number of Assets Download - Charging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4">
                    <a:tint val="94000"/>
                    <a:satMod val="103000"/>
                    <a:lumMod val="102000"/>
                  </a:schemeClr>
                </a:gs>
                <a:gs pos="50000">
                  <a:schemeClr val="accent4">
                    <a:shade val="100000"/>
                    <a:satMod val="110000"/>
                    <a:lumMod val="100000"/>
                  </a:schemeClr>
                </a:gs>
                <a:gs pos="100000">
                  <a:schemeClr val="accent4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2025'!$K$3:$K$14</f>
              <numCache>
                <formatCode>General</formatCode>
                <ptCount val="12"/>
                <pt idx="0">
                  <v>285</v>
                </pt>
                <pt idx="1">
                  <v>213</v>
                </pt>
                <pt idx="2">
                  <v>223</v>
                </pt>
                <pt idx="3">
                  <v>258</v>
                </pt>
                <pt idx="4">
                  <v>355</v>
                </pt>
                <pt idx="5">
                  <v>277</v>
                </pt>
                <pt idx="6">
                  <v>309</v>
                </pt>
                <pt idx="7">
                  <v>229</v>
                </pt>
                <pt idx="8">
                  <v>153</v>
                </pt>
                <pt idx="9">
                  <v>99</v>
                </pt>
                <pt idx="10">
                  <v>96</v>
                </pt>
                <pt idx="11">
                  <v>193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2102195520"/>
        <axId val="1970650064"/>
      </barChart>
      <lineChart>
        <grouping val="stacked"/>
        <varyColors val="0"/>
        <ser>
          <idx val="3"/>
          <order val="3"/>
          <tx>
            <strRef>
              <f>'Monthly Data 2025'!$E$2</f>
              <strCache>
                <ptCount val="1"/>
                <pt idx="0">
                  <v>Pending Feedback - Billing</v>
                </pt>
              </strCache>
            </strRef>
          </tx>
          <spPr>
            <a:ln xmlns:a="http://schemas.openxmlformats.org/drawingml/2006/main" w="3492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2025'!$E$3:$E$14</f>
              <numCache>
                <formatCode>General</formatCode>
                <ptCount val="12"/>
                <pt idx="0">
                  <v>8</v>
                </pt>
                <pt idx="1">
                  <v>8</v>
                </pt>
                <pt idx="2">
                  <v>7</v>
                </pt>
                <pt idx="3">
                  <v>6</v>
                </pt>
                <pt idx="4">
                  <v>3</v>
                </pt>
                <pt idx="5">
                  <v>13</v>
                </pt>
                <pt idx="6">
                  <v>3</v>
                </pt>
                <pt idx="7">
                  <v>28</v>
                </pt>
                <pt idx="8">
                  <v>31</v>
                </pt>
                <pt idx="9">
                  <v>46</v>
                </pt>
                <pt idx="10">
                  <v>49</v>
                </pt>
                <pt idx="11">
                  <v>52</v>
                </pt>
              </numCache>
            </numRef>
          </val>
          <smooth val="0"/>
        </ser>
        <ser>
          <idx val="4"/>
          <order val="4"/>
          <tx>
            <strRef>
              <f>'Monthly Data 2025'!$M$2</f>
              <strCache>
                <ptCount val="1"/>
                <pt idx="0">
                  <v>Pending Feedback - Charging</v>
                </pt>
              </strCache>
            </strRef>
          </tx>
          <spPr>
            <a:ln xmlns:a="http://schemas.openxmlformats.org/drawingml/2006/main" w="3492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2025'!$M$3:$M$14</f>
              <numCache>
                <formatCode>General</formatCode>
                <ptCount val="12"/>
                <pt idx="0">
                  <v>49</v>
                </pt>
                <pt idx="1">
                  <v>44</v>
                </pt>
                <pt idx="2">
                  <v>62</v>
                </pt>
                <pt idx="3">
                  <v>139</v>
                </pt>
                <pt idx="4">
                  <v>67</v>
                </pt>
                <pt idx="5">
                  <v>58</v>
                </pt>
                <pt idx="6">
                  <v>73</v>
                </pt>
                <pt idx="7">
                  <v>92</v>
                </pt>
                <pt idx="8">
                  <v>140</v>
                </pt>
                <pt idx="9">
                  <v>187</v>
                </pt>
                <pt idx="10">
                  <v>193</v>
                </pt>
                <pt idx="11">
                  <v>221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2102195520"/>
        <axId val="1970650064"/>
      </lineChart>
      <catAx>
        <axId val="21021955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70650064"/>
        <crosses val="autoZero"/>
        <auto val="1"/>
        <lblAlgn val="ctr"/>
        <lblOffset val="100"/>
        <noMultiLvlLbl val="0"/>
      </catAx>
      <valAx>
        <axId val="197065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021955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IN"/>
              <a:t>Monetization Savings in hours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stacked"/>
        <varyColors val="0"/>
        <ser>
          <idx val="4"/>
          <order val="0"/>
          <tx>
            <strRef>
              <f>'Monthly Data 2025'!$F$2</f>
              <strCache>
                <ptCount val="1"/>
                <pt idx="0">
                  <v>Asset Savings - Billing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2025'!$F$3:$F$14</f>
              <numCache>
                <formatCode>General</formatCode>
                <ptCount val="12"/>
                <pt idx="0">
                  <v>143</v>
                </pt>
                <pt idx="1">
                  <v>112</v>
                </pt>
                <pt idx="2">
                  <v>148</v>
                </pt>
                <pt idx="3">
                  <v>684.42</v>
                </pt>
                <pt idx="4">
                  <v>254.9</v>
                </pt>
                <pt idx="5">
                  <v>131.2</v>
                </pt>
                <pt idx="6">
                  <v>502.2</v>
                </pt>
                <pt idx="7">
                  <v>26.3</v>
                </pt>
                <pt idx="8">
                  <v>379.5</v>
                </pt>
                <pt idx="9">
                  <v>212</v>
                </pt>
                <pt idx="10">
                  <v>289</v>
                </pt>
                <pt idx="11">
                  <v>1901</v>
                </pt>
              </numCache>
            </numRef>
          </val>
        </ser>
        <ser>
          <idx val="5"/>
          <order val="1"/>
          <tx>
            <strRef>
              <f>'Monthly Data 2025'!$G$2</f>
              <strCache>
                <ptCount val="1"/>
                <pt idx="0">
                  <v>Automation Savings - Billing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6">
                    <a:tint val="94000"/>
                    <a:satMod val="103000"/>
                    <a:lumMod val="102000"/>
                  </a:schemeClr>
                </a:gs>
                <a:gs pos="50000">
                  <a:schemeClr val="accent6">
                    <a:shade val="100000"/>
                    <a:satMod val="110000"/>
                    <a:lumMod val="100000"/>
                  </a:schemeClr>
                </a:gs>
                <a:gs pos="100000">
                  <a:schemeClr val="accent6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2025'!$G$3:$G$14</f>
              <numCache>
                <formatCode>General</formatCode>
                <ptCount val="12"/>
                <pt idx="0">
                  <v>48.1</v>
                </pt>
                <pt idx="1">
                  <v>24.5</v>
                </pt>
                <pt idx="2">
                  <v>0.8</v>
                </pt>
                <pt idx="3">
                  <v>0.45</v>
                </pt>
                <pt idx="4">
                  <v>19.65</v>
                </pt>
                <pt idx="5">
                  <v>5.45</v>
                </pt>
                <pt idx="6">
                  <v>22.1</v>
                </pt>
                <pt idx="7">
                  <v>326.49</v>
                </pt>
                <pt idx="8">
                  <v>14.4</v>
                </pt>
                <pt idx="9">
                  <v>0.5</v>
                </pt>
                <pt idx="10">
                  <v>1064</v>
                </pt>
                <pt idx="11">
                  <v>1144</v>
                </pt>
              </numCache>
            </numRef>
          </val>
        </ser>
        <ser>
          <idx val="6"/>
          <order val="2"/>
          <tx>
            <strRef>
              <f>'Monthly Data 2025'!$N$2</f>
              <strCache>
                <ptCount val="1"/>
                <pt idx="0">
                  <v>Asset Savings - Charging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  <a:lumOff val="20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  <a:lumOff val="2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  <a:lumOff val="20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2025'!$N$3:$N$14</f>
              <numCache>
                <formatCode>General</formatCode>
                <ptCount val="12"/>
                <pt idx="0">
                  <v>1551.24</v>
                </pt>
                <pt idx="1">
                  <v>2465</v>
                </pt>
                <pt idx="2">
                  <v>969.48</v>
                </pt>
                <pt idx="3">
                  <v>2183.55</v>
                </pt>
                <pt idx="4">
                  <v>1785.6</v>
                </pt>
                <pt idx="5">
                  <v>1613.72</v>
                </pt>
                <pt idx="6">
                  <v>1797.23</v>
                </pt>
                <pt idx="7">
                  <v>1535.1</v>
                </pt>
                <pt idx="8">
                  <v>1564.68</v>
                </pt>
                <pt idx="9">
                  <v>784.4</v>
                </pt>
                <pt idx="10">
                  <v>1375</v>
                </pt>
                <pt idx="11">
                  <v>2602</v>
                </pt>
              </numCache>
            </numRef>
          </val>
        </ser>
        <ser>
          <idx val="7"/>
          <order val="3"/>
          <tx>
            <strRef>
              <f>'Monthly Data 2025'!$O$2</f>
              <strCache>
                <ptCount val="1"/>
                <pt idx="0">
                  <v>Automation Savings - Charging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  <a:lumOff val="20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  <a:lumOff val="2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  <a:lumOff val="20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2025'!$O$3:$O$14</f>
              <numCache>
                <formatCode>General</formatCode>
                <ptCount val="12"/>
                <pt idx="0">
                  <v>2684</v>
                </pt>
                <pt idx="1">
                  <v>3455</v>
                </pt>
                <pt idx="2">
                  <v>2723.24</v>
                </pt>
                <pt idx="3">
                  <v>4112</v>
                </pt>
                <pt idx="4">
                  <v>4764.8</v>
                </pt>
                <pt idx="5">
                  <v>3734.9</v>
                </pt>
                <pt idx="6">
                  <v>3669.84</v>
                </pt>
                <pt idx="7">
                  <v>2105.07</v>
                </pt>
                <pt idx="8">
                  <v>699.29</v>
                </pt>
                <pt idx="9">
                  <v>1058.77</v>
                </pt>
                <pt idx="10">
                  <v>704</v>
                </pt>
                <pt idx="11">
                  <v>1882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4343055"/>
        <axId val="2110367"/>
      </barChart>
      <catAx>
        <axId val="143430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10367"/>
        <crosses val="autoZero"/>
        <auto val="1"/>
        <lblAlgn val="ctr"/>
        <lblOffset val="100"/>
        <noMultiLvlLbl val="0"/>
      </catAx>
      <valAx>
        <axId val="21103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34305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IN"/>
              <a:t>Charging Download / Feedback Trend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'Monthly Data 2025'!$K$2</f>
              <strCache>
                <ptCount val="1"/>
                <pt idx="0">
                  <v>Total Number of Assets Download - Charging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2025'!$K$3:$K$14</f>
              <numCache>
                <formatCode>General</formatCode>
                <ptCount val="12"/>
                <pt idx="0">
                  <v>285</v>
                </pt>
                <pt idx="1">
                  <v>213</v>
                </pt>
                <pt idx="2">
                  <v>223</v>
                </pt>
                <pt idx="3">
                  <v>258</v>
                </pt>
                <pt idx="4">
                  <v>355</v>
                </pt>
                <pt idx="5">
                  <v>277</v>
                </pt>
                <pt idx="6">
                  <v>309</v>
                </pt>
                <pt idx="7">
                  <v>229</v>
                </pt>
                <pt idx="8">
                  <v>153</v>
                </pt>
                <pt idx="9">
                  <v>99</v>
                </pt>
                <pt idx="10">
                  <v>96</v>
                </pt>
                <pt idx="11">
                  <v>193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93713072"/>
        <axId val="674117904"/>
      </barChart>
      <lineChart>
        <grouping val="standard"/>
        <varyColors val="0"/>
        <ser>
          <idx val="1"/>
          <order val="1"/>
          <tx>
            <strRef>
              <f>'Monthly Data 2025'!$L$2</f>
              <strCache>
                <ptCount val="1"/>
                <pt idx="0">
                  <v>Total Number of Assets Reused with Savings - Charging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2025'!$A$3:$A$11</f>
              <strCache>
                <ptCount val="9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</strCache>
            </strRef>
          </cat>
          <val>
            <numRef>
              <f>'Monthly Data 2025'!$L$3:$L$11</f>
              <numCache>
                <formatCode>General</formatCode>
                <ptCount val="9"/>
                <pt idx="0">
                  <v>141</v>
                </pt>
                <pt idx="1">
                  <v>239</v>
                </pt>
                <pt idx="2">
                  <v>139</v>
                </pt>
                <pt idx="3">
                  <v>233</v>
                </pt>
                <pt idx="4">
                  <v>221</v>
                </pt>
                <pt idx="5">
                  <v>134</v>
                </pt>
                <pt idx="6">
                  <v>210</v>
                </pt>
                <pt idx="7">
                  <v>148</v>
                </pt>
                <pt idx="8">
                  <v>95</v>
                </pt>
              </numCache>
            </numRef>
          </val>
          <smooth val="0"/>
        </ser>
        <ser>
          <idx val="2"/>
          <order val="2"/>
          <tx>
            <strRef>
              <f>'Monthly Data 2025'!$M$2</f>
              <strCache>
                <ptCount val="1"/>
                <pt idx="0">
                  <v>Pending Feedback - Charging</v>
                </pt>
              </strCache>
            </strRef>
          </tx>
          <spPr>
            <a:ln xmlns:a="http://schemas.openxmlformats.org/drawingml/2006/main" w="3492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2025'!$A$3:$A$11</f>
              <strCache>
                <ptCount val="9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</strCache>
            </strRef>
          </cat>
          <val>
            <numRef>
              <f>'Monthly Data 2025'!$M$3:$M$11</f>
              <numCache>
                <formatCode>General</formatCode>
                <ptCount val="9"/>
                <pt idx="0">
                  <v>49</v>
                </pt>
                <pt idx="1">
                  <v>44</v>
                </pt>
                <pt idx="2">
                  <v>62</v>
                </pt>
                <pt idx="3">
                  <v>139</v>
                </pt>
                <pt idx="4">
                  <v>67</v>
                </pt>
                <pt idx="5">
                  <v>58</v>
                </pt>
                <pt idx="6">
                  <v>73</v>
                </pt>
                <pt idx="7">
                  <v>92</v>
                </pt>
                <pt idx="8">
                  <v>140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93713072"/>
        <axId val="674117904"/>
      </lineChart>
      <catAx>
        <axId val="8937130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74117904"/>
        <crosses val="autoZero"/>
        <auto val="1"/>
        <lblAlgn val="ctr"/>
        <lblOffset val="100"/>
        <noMultiLvlLbl val="0"/>
      </catAx>
      <valAx>
        <axId val="6741179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9371307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IN"/>
              <a:t>Billing Download / Feedback Trend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1"/>
          <order val="0"/>
          <tx>
            <strRef>
              <f>'Monthly Data 2025'!$C$2</f>
              <strCache>
                <ptCount val="1"/>
                <pt idx="0">
                  <v>Total Number of Assets Download - Billing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2025'!$C$3:$C$14</f>
              <numCache>
                <formatCode>General</formatCode>
                <ptCount val="12"/>
                <pt idx="0">
                  <v>20</v>
                </pt>
                <pt idx="1">
                  <v>20</v>
                </pt>
                <pt idx="2">
                  <v>9</v>
                </pt>
                <pt idx="3">
                  <v>20</v>
                </pt>
                <pt idx="4">
                  <v>29</v>
                </pt>
                <pt idx="5">
                  <v>22</v>
                </pt>
                <pt idx="6">
                  <v>34</v>
                </pt>
                <pt idx="7">
                  <v>17</v>
                </pt>
                <pt idx="8">
                  <v>8</v>
                </pt>
                <pt idx="9">
                  <v>39</v>
                </pt>
                <pt idx="10">
                  <v>27</v>
                </pt>
                <pt idx="11">
                  <v>31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71248192"/>
        <axId val="472719103"/>
      </barChart>
      <lineChart>
        <grouping val="standard"/>
        <varyColors val="0"/>
        <ser>
          <idx val="2"/>
          <order val="2"/>
          <tx>
            <strRef>
              <f>'Monthly Data 2025'!$D$2</f>
              <strCache>
                <ptCount val="1"/>
                <pt idx="0">
                  <v>Total Number of Assets Reused with Savings - Billing</v>
                </pt>
              </strCache>
            </strRef>
          </tx>
          <spPr>
            <a:ln xmlns:a="http://schemas.openxmlformats.org/drawingml/2006/main" w="3492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2025'!$D$3:$D$14</f>
              <numCache>
                <formatCode>General</formatCode>
                <ptCount val="12"/>
                <pt idx="0">
                  <v>4</v>
                </pt>
                <pt idx="1">
                  <v>5</v>
                </pt>
                <pt idx="2">
                  <v>4</v>
                </pt>
                <pt idx="3">
                  <v>10</v>
                </pt>
                <pt idx="4">
                  <v>10</v>
                </pt>
                <pt idx="5">
                  <v>7</v>
                </pt>
                <pt idx="6">
                  <v>6</v>
                </pt>
                <pt idx="7">
                  <v>10</v>
                </pt>
                <pt idx="8">
                  <v>5</v>
                </pt>
                <pt idx="9">
                  <v>6</v>
                </pt>
                <pt idx="10">
                  <v>19</v>
                </pt>
                <pt idx="11">
                  <v>22</v>
                </pt>
              </numCache>
            </numRef>
          </val>
          <smooth val="0"/>
        </ser>
        <ser>
          <idx val="3"/>
          <order val="3"/>
          <tx>
            <strRef>
              <f>'Monthly Data 2025'!$E$2</f>
              <strCache>
                <ptCount val="1"/>
                <pt idx="0">
                  <v>Pending Feedback - Billing</v>
                </pt>
              </strCache>
            </strRef>
          </tx>
          <spPr>
            <a:ln xmlns:a="http://schemas.openxmlformats.org/drawingml/2006/main" w="3492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2025'!$E$3:$E$14</f>
              <numCache>
                <formatCode>General</formatCode>
                <ptCount val="12"/>
                <pt idx="0">
                  <v>8</v>
                </pt>
                <pt idx="1">
                  <v>8</v>
                </pt>
                <pt idx="2">
                  <v>7</v>
                </pt>
                <pt idx="3">
                  <v>6</v>
                </pt>
                <pt idx="4">
                  <v>3</v>
                </pt>
                <pt idx="5">
                  <v>13</v>
                </pt>
                <pt idx="6">
                  <v>3</v>
                </pt>
                <pt idx="7">
                  <v>28</v>
                </pt>
                <pt idx="8">
                  <v>31</v>
                </pt>
                <pt idx="9">
                  <v>46</v>
                </pt>
                <pt idx="10">
                  <v>49</v>
                </pt>
                <pt idx="11">
                  <v>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71248192"/>
        <axId val="472719103"/>
      </lineChart>
      <catAx>
        <axId val="15712481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72719103"/>
        <crosses val="autoZero"/>
        <auto val="1"/>
        <lblAlgn val="ctr"/>
        <lblOffset val="100"/>
        <noMultiLvlLbl val="0"/>
      </catAx>
      <valAx>
        <axId val="4727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7124819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bg1"/>
                </a:solidFill>
              </a:rPr>
              <a:t>Billing Savings in hours</a:t>
            </a:r>
          </a:p>
        </rich>
      </tx>
      <layout>
        <manualLayout>
          <xMode val="edge"/>
          <yMode val="edge"/>
          <wMode val="factor"/>
          <hMode val="factor"/>
          <x val="0.1344710417645877"/>
          <y val="0.0185756756938599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strRef>
              <f>'Monthly Data 2025'!$H$2</f>
              <strCache>
                <ptCount val="1"/>
                <pt idx="0">
                  <v>Total Savings - Billing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2025'!$A$3:$A$15</f>
              <strCache>
                <ptCount val="13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  <pt idx="12">
                  <v>YTD</v>
                </pt>
              </strCache>
            </strRef>
          </cat>
          <val>
            <numRef>
              <f>'Monthly Data 2025'!$H$3:$H$15</f>
              <numCache>
                <formatCode>General</formatCode>
                <ptCount val="13"/>
                <pt idx="0">
                  <v>191.1</v>
                </pt>
                <pt idx="1">
                  <v>136.5</v>
                </pt>
                <pt idx="2">
                  <v>148.8</v>
                </pt>
                <pt idx="3">
                  <v>684.87</v>
                </pt>
                <pt idx="4">
                  <v>274.55</v>
                </pt>
                <pt idx="5">
                  <v>136.65</v>
                </pt>
                <pt idx="6">
                  <v>524.3</v>
                </pt>
                <pt idx="7">
                  <v>352.79</v>
                </pt>
                <pt idx="8">
                  <v>393.9</v>
                </pt>
                <pt idx="9">
                  <v>212.5</v>
                </pt>
                <pt idx="10">
                  <v>1353</v>
                </pt>
                <pt idx="11">
                  <v>3045</v>
                </pt>
                <pt idx="12">
                  <v>7453.959999999999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-27"/>
        <axId val="789984271"/>
        <axId val="558812064"/>
      </barChart>
      <catAx>
        <axId val="7899842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8812064"/>
        <crosses val="autoZero"/>
        <auto val="1"/>
        <lblAlgn val="ctr"/>
        <lblOffset val="100"/>
        <noMultiLvlLbl val="0"/>
      </catAx>
      <valAx>
        <axId val="558812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bg1">
                  <a:alpha val="14000"/>
                  <a:lumMod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89984271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04482840895344"/>
          <y val="0.9261612503214178"/>
          <w val="0.2099802189636879"/>
          <h val="0.062693344262266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tx1">
        <a:lumMod val="65000"/>
        <a:lumOff val="35000"/>
      </a:schemeClr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IN"/>
              <a:t>Monetization Savings in hours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4"/>
          <order val="0"/>
          <tx>
            <strRef>
              <f>'Monthly Data 2025'!$F$2</f>
              <strCache>
                <ptCount val="1"/>
                <pt idx="0">
                  <v>Asset Savings - Billing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2025'!$F$3:$F$14</f>
              <numCache>
                <formatCode>General</formatCode>
                <ptCount val="12"/>
                <pt idx="0">
                  <v>143</v>
                </pt>
                <pt idx="1">
                  <v>112</v>
                </pt>
                <pt idx="2">
                  <v>148</v>
                </pt>
                <pt idx="3">
                  <v>684.42</v>
                </pt>
                <pt idx="4">
                  <v>254.9</v>
                </pt>
                <pt idx="5">
                  <v>131.2</v>
                </pt>
                <pt idx="6">
                  <v>502.2</v>
                </pt>
                <pt idx="7">
                  <v>26.3</v>
                </pt>
                <pt idx="8">
                  <v>379.5</v>
                </pt>
                <pt idx="9">
                  <v>212</v>
                </pt>
                <pt idx="10">
                  <v>289</v>
                </pt>
                <pt idx="11">
                  <v>1901</v>
                </pt>
              </numCache>
            </numRef>
          </val>
        </ser>
        <ser>
          <idx val="5"/>
          <order val="1"/>
          <tx>
            <strRef>
              <f>'Monthly Data 2025'!$G$2</f>
              <strCache>
                <ptCount val="1"/>
                <pt idx="0">
                  <v>Automation Savings - Billing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6">
                    <a:tint val="94000"/>
                    <a:satMod val="103000"/>
                    <a:lumMod val="102000"/>
                  </a:schemeClr>
                </a:gs>
                <a:gs pos="50000">
                  <a:schemeClr val="accent6">
                    <a:shade val="100000"/>
                    <a:satMod val="110000"/>
                    <a:lumMod val="100000"/>
                  </a:schemeClr>
                </a:gs>
                <a:gs pos="100000">
                  <a:schemeClr val="accent6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2025'!$G$3:$G$14</f>
              <numCache>
                <formatCode>General</formatCode>
                <ptCount val="12"/>
                <pt idx="0">
                  <v>48.1</v>
                </pt>
                <pt idx="1">
                  <v>24.5</v>
                </pt>
                <pt idx="2">
                  <v>0.8</v>
                </pt>
                <pt idx="3">
                  <v>0.45</v>
                </pt>
                <pt idx="4">
                  <v>19.65</v>
                </pt>
                <pt idx="5">
                  <v>5.45</v>
                </pt>
                <pt idx="6">
                  <v>22.1</v>
                </pt>
                <pt idx="7">
                  <v>326.49</v>
                </pt>
                <pt idx="8">
                  <v>14.4</v>
                </pt>
                <pt idx="9">
                  <v>0.5</v>
                </pt>
                <pt idx="10">
                  <v>1064</v>
                </pt>
                <pt idx="11">
                  <v>1144</v>
                </pt>
              </numCache>
            </numRef>
          </val>
        </ser>
        <ser>
          <idx val="6"/>
          <order val="2"/>
          <tx>
            <strRef>
              <f>'Monthly Data 2025'!$H$2</f>
              <strCache>
                <ptCount val="1"/>
                <pt idx="0">
                  <v>Total Savings - Billing</v>
                </pt>
              </strCache>
            </strRef>
          </tx>
          <spPr>
            <a:solidFill xmlns:a="http://schemas.openxmlformats.org/drawingml/2006/main">
              <a:schemeClr val="accent4">
                <a:lumMod val="7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2025'!$H$3:$H$14</f>
              <numCache>
                <formatCode>General</formatCode>
                <ptCount val="12"/>
                <pt idx="0">
                  <v>191.1</v>
                </pt>
                <pt idx="1">
                  <v>136.5</v>
                </pt>
                <pt idx="2">
                  <v>148.8</v>
                </pt>
                <pt idx="3">
                  <v>684.87</v>
                </pt>
                <pt idx="4">
                  <v>274.55</v>
                </pt>
                <pt idx="5">
                  <v>136.65</v>
                </pt>
                <pt idx="6">
                  <v>524.3</v>
                </pt>
                <pt idx="7">
                  <v>352.79</v>
                </pt>
                <pt idx="8">
                  <v>393.9</v>
                </pt>
                <pt idx="9">
                  <v>212.5</v>
                </pt>
                <pt idx="10">
                  <v>1353</v>
                </pt>
                <pt idx="11">
                  <v>3045</v>
                </pt>
              </numCache>
            </numRef>
          </val>
        </ser>
        <ser>
          <idx val="7"/>
          <order val="3"/>
          <tx>
            <strRef>
              <f>'Monthly Data 2025'!$N$2</f>
              <strCache>
                <ptCount val="1"/>
                <pt idx="0">
                  <v>Asset Savings - Charging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  <a:lumOff val="20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  <a:lumOff val="2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  <a:lumOff val="20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2025'!$N$3:$N$14</f>
              <numCache>
                <formatCode>General</formatCode>
                <ptCount val="12"/>
                <pt idx="0">
                  <v>1551.24</v>
                </pt>
                <pt idx="1">
                  <v>2465</v>
                </pt>
                <pt idx="2">
                  <v>969.48</v>
                </pt>
                <pt idx="3">
                  <v>2183.55</v>
                </pt>
                <pt idx="4">
                  <v>1785.6</v>
                </pt>
                <pt idx="5">
                  <v>1613.72</v>
                </pt>
                <pt idx="6">
                  <v>1797.23</v>
                </pt>
                <pt idx="7">
                  <v>1535.1</v>
                </pt>
                <pt idx="8">
                  <v>1564.68</v>
                </pt>
                <pt idx="9">
                  <v>784.4</v>
                </pt>
                <pt idx="10">
                  <v>1375</v>
                </pt>
                <pt idx="11">
                  <v>2602</v>
                </pt>
              </numCache>
            </numRef>
          </val>
        </ser>
        <ser>
          <idx val="8"/>
          <order val="4"/>
          <tx>
            <strRef>
              <f>'Monthly Data 2025'!$O$2</f>
              <strCache>
                <ptCount val="1"/>
                <pt idx="0">
                  <v>Automation Savings - Charging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  <a:lumOff val="20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  <a:lumOff val="2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  <a:lumOff val="20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2025'!$O$3:$O$14</f>
              <numCache>
                <formatCode>General</formatCode>
                <ptCount val="12"/>
                <pt idx="0">
                  <v>2684</v>
                </pt>
                <pt idx="1">
                  <v>3455</v>
                </pt>
                <pt idx="2">
                  <v>2723.24</v>
                </pt>
                <pt idx="3">
                  <v>4112</v>
                </pt>
                <pt idx="4">
                  <v>4764.8</v>
                </pt>
                <pt idx="5">
                  <v>3734.9</v>
                </pt>
                <pt idx="6">
                  <v>3669.84</v>
                </pt>
                <pt idx="7">
                  <v>2105.07</v>
                </pt>
                <pt idx="8">
                  <v>699.29</v>
                </pt>
                <pt idx="9">
                  <v>1058.77</v>
                </pt>
                <pt idx="10">
                  <v>704</v>
                </pt>
                <pt idx="11">
                  <v>1882</v>
                </pt>
              </numCache>
            </numRef>
          </val>
        </ser>
        <ser>
          <idx val="9"/>
          <order val="5"/>
          <tx>
            <strRef>
              <f>'Monthly Data 2025'!$P$2</f>
              <strCache>
                <ptCount val="1"/>
                <pt idx="0">
                  <v>Total Savings - Charging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3">
                    <a:tint val="94000"/>
                    <a:satMod val="103000"/>
                    <a:lumMod val="102000"/>
                    <a:lumOff val="20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  <a:lumOff val="2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  <a:lumOff val="20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Data 2025'!$A$3:$A$14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Data 2025'!$P$3:$P$14</f>
              <numCache>
                <formatCode>General</formatCode>
                <ptCount val="12"/>
                <pt idx="0">
                  <v>4235.24</v>
                </pt>
                <pt idx="1">
                  <v>5920</v>
                </pt>
                <pt idx="2">
                  <v>3692.72</v>
                </pt>
                <pt idx="3">
                  <v>6295.55</v>
                </pt>
                <pt idx="4">
                  <v>6550.4</v>
                </pt>
                <pt idx="5">
                  <v>5348.62</v>
                </pt>
                <pt idx="6">
                  <v>5467.07</v>
                </pt>
                <pt idx="7">
                  <v>3640.17</v>
                </pt>
                <pt idx="8">
                  <v>2263.97</v>
                </pt>
                <pt idx="9">
                  <v>1843.17</v>
                </pt>
                <pt idx="10">
                  <v>2080</v>
                </pt>
                <pt idx="11">
                  <v>4486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343055"/>
        <axId val="2110367"/>
      </barChart>
      <catAx>
        <axId val="143430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10367"/>
        <crosses val="autoZero"/>
        <auto val="1"/>
        <lblAlgn val="ctr"/>
        <lblOffset val="100"/>
        <noMultiLvlLbl val="0"/>
      </catAx>
      <valAx>
        <axId val="21103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34305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sng" strike="noStrike" kern="1200" spc="0" baseline="0" dirty="0">
                <a:solidFill>
                  <a:prstClr val="black"/>
                </a:solidFill>
              </a:rPr>
              <a:t>Asset Reuse (SDU) - 2024 vs 2023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434456569869862"/>
          <y val="0.1535887096774194"/>
          <w val="0.9553682962190525"/>
          <h val="0.6523202946405893"/>
        </manualLayout>
      </layout>
      <barChart>
        <barDir val="col"/>
        <grouping val="clustered"/>
        <varyColors val="0"/>
        <ser>
          <idx val="0"/>
          <order val="0"/>
          <tx>
            <strRef>
              <f>'Data (2)'!$C$33</f>
              <strCache>
                <ptCount val="1"/>
                <pt idx="0">
                  <v>2023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(2)'!$B$34:$B$42</f>
              <strCache>
                <ptCount val="9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</strCache>
            </strRef>
          </cat>
          <val>
            <numRef>
              <f>'Data (2)'!$C$34:$C$42</f>
              <numCache>
                <formatCode>General</formatCode>
                <ptCount val="9"/>
                <pt idx="0">
                  <v>0</v>
                </pt>
                <pt idx="1">
                  <v>247</v>
                </pt>
                <pt idx="2">
                  <v>0</v>
                </pt>
                <pt idx="3">
                  <v>0</v>
                </pt>
                <pt idx="4">
                  <v>40</v>
                </pt>
                <pt idx="5">
                  <v>890</v>
                </pt>
                <pt idx="6">
                  <v>827</v>
                </pt>
                <pt idx="7">
                  <v>0</v>
                </pt>
                <pt idx="8">
                  <v>11.25</v>
                </pt>
              </numCache>
            </numRef>
          </val>
        </ser>
        <ser>
          <idx val="1"/>
          <order val="1"/>
          <tx>
            <strRef>
              <f>'Data (2)'!$D$33</f>
              <strCache>
                <ptCount val="1"/>
                <pt idx="0">
                  <v>2024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(2)'!$B$34:$B$42</f>
              <strCache>
                <ptCount val="9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</strCache>
            </strRef>
          </cat>
          <val>
            <numRef>
              <f>'Data (2)'!$D$34:$D$42</f>
              <numCache>
                <formatCode>General</formatCode>
                <ptCount val="9"/>
                <pt idx="0">
                  <v>147.02</v>
                </pt>
                <pt idx="1">
                  <v>202.8</v>
                </pt>
                <pt idx="2">
                  <v>52</v>
                </pt>
                <pt idx="3">
                  <v>1202.5</v>
                </pt>
                <pt idx="4">
                  <v>910.3200000000001</v>
                </pt>
                <pt idx="5">
                  <v>725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90664384"/>
        <axId val="1890671104"/>
      </barChart>
      <catAx>
        <axId val="18906643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90671104"/>
        <crosses val="autoZero"/>
        <auto val="1"/>
        <lblAlgn val="ctr"/>
        <lblOffset val="100"/>
        <noMultiLvlLbl val="0"/>
      </catAx>
      <valAx>
        <axId val="1890671104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crossAx val="18906643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2">
        <a:lumMod val="90000"/>
      </a:schemeClr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Savings Hours - Billing</a:t>
            </a:r>
          </a:p>
        </rich>
      </tx>
      <layout>
        <manualLayout>
          <xMode val="edge"/>
          <yMode val="edge"/>
          <wMode val="factor"/>
          <hMode val="factor"/>
          <x val="0.3279992821923146"/>
          <y val="0.00904347454564551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06472291131565"/>
          <y val="0.113450388175123"/>
          <w val="0.938705541773687"/>
          <h val="0.7816531400260978"/>
        </manualLayout>
      </layout>
      <barChart>
        <barDir val="col"/>
        <grouping val="clustered"/>
        <varyColors val="0"/>
        <ser>
          <idx val="0"/>
          <order val="0"/>
          <tx>
            <strRef>
              <f>'Data (2)'!$C$2</f>
              <strCache>
                <ptCount val="1"/>
                <pt idx="0">
                  <v>Total Savings - Billing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(2)'!$B$3:$B$11</f>
              <strCache>
                <ptCount val="9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</strCache>
            </strRef>
          </cat>
          <val>
            <numRef>
              <f>'Data (2)'!$C$3:$C$11</f>
              <numCache>
                <formatCode>General</formatCode>
                <ptCount val="9"/>
                <pt idx="0">
                  <v>191.1</v>
                </pt>
                <pt idx="1">
                  <v>136.5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27275343"/>
        <axId val="327275823"/>
      </barChart>
      <catAx>
        <axId val="32727534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27275823"/>
        <crosses val="autoZero"/>
        <auto val="1"/>
        <lblAlgn val="ctr"/>
        <lblOffset val="100"/>
        <noMultiLvlLbl val="0"/>
      </catAx>
      <valAx>
        <axId val="327275823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32727534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2">
        <a:lumMod val="90000"/>
      </a:schemeClr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IN"/>
              <a:t>Monetization Savings %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1"/>
          <order val="0"/>
          <tx>
            <strRef>
              <f>'Monthly Data 2025'!$J$2</f>
              <strCache>
                <ptCount val="1"/>
                <pt idx="0">
                  <v>Billing Savings %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('Monthly Data 2025'!$A$3:$A$14,'Monthly Data 2025'!$A$16:$A$19)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('Monthly Data 2025'!$J$3:$J$14,'Monthly Data 2025'!$J$16:$J$19)</f>
              <numCache>
                <formatCode>0%</formatCode>
                <ptCount val="16"/>
                <pt idx="0">
                  <v>0.02872884986883348</v>
                </pt>
                <pt idx="1">
                  <v>0.02262555942317255</v>
                </pt>
                <pt idx="2">
                  <v>0.02443349753694582</v>
                </pt>
                <pt idx="3">
                  <v>0.1101608492842207</v>
                </pt>
                <pt idx="4">
                  <v>0.03974377533294731</v>
                </pt>
                <pt idx="5">
                  <v>0.01870380509170545</v>
                </pt>
                <pt idx="6">
                  <v>0.05200357072009521</v>
                </pt>
                <pt idx="7">
                  <v>0.03990385702974777</v>
                </pt>
                <pt idx="8">
                  <v>0.04144134665965281</v>
                </pt>
                <pt idx="9">
                  <v>0.02367424242424242</v>
                </pt>
                <pt idx="10">
                  <v>0.2068491056413392</v>
                </pt>
                <pt idx="11">
                  <v>0.353822914245875</v>
                </pt>
              </numCache>
            </numRef>
          </val>
        </ser>
        <ser>
          <idx val="2"/>
          <order val="1"/>
          <tx>
            <strRef>
              <f>'Monthly Data 2025'!$R$2</f>
              <strCache>
                <ptCount val="1"/>
                <pt idx="0">
                  <v>Charging Savings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  <a:lumOff val="4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('Monthly Data 2025'!$A$3:$A$14,'Monthly Data 2025'!$A$16:$A$19)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('Monthly Data 2025'!$R$3:$R$14,'Monthly Data 2025'!$R$16:$R$19)</f>
              <numCache>
                <formatCode>0.00%</formatCode>
                <ptCount val="16"/>
                <pt idx="0">
                  <v>0.09493286710151749</v>
                </pt>
                <pt idx="1">
                  <v>0.1421061475311457</v>
                </pt>
                <pt idx="2">
                  <v>0.09007512928090546</v>
                </pt>
                <pt idx="3">
                  <v>0.1564189524945339</v>
                </pt>
                <pt idx="4">
                  <v>0.1519074232972334</v>
                </pt>
                <pt idx="5">
                  <v>0.1305656047845722</v>
                </pt>
                <pt idx="6">
                  <v>0.1247477467199087</v>
                </pt>
                <pt idx="7">
                  <v>0.09292074026802809</v>
                </pt>
                <pt idx="8">
                  <v>0.05579579061514196</v>
                </pt>
                <pt idx="9">
                  <v>0.04679284082254379</v>
                </pt>
                <pt idx="10">
                  <v>0.05036563513971621</v>
                </pt>
                <pt idx="11">
                  <v>0.1513393158356386</v>
                </pt>
              </numCache>
            </numRef>
          </val>
        </ser>
        <ser>
          <idx val="3"/>
          <order val="2"/>
          <tx>
            <strRef>
              <f>'Monthly Data 2025'!$U$2</f>
              <strCache>
                <ptCount val="1"/>
                <pt idx="0">
                  <v>Monetization Savings %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('Monthly Data 2025'!$A$3:$A$14,'Monthly Data 2025'!$A$16:$A$19)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('Monthly Data 2025'!$U$3:$U$14,'Monthly Data 2025'!$U$16:$U$19)</f>
              <numCache>
                <formatCode>0.00%</formatCode>
                <ptCount val="16"/>
                <pt idx="0">
                  <v>0.08634259146374174</v>
                </pt>
                <pt idx="1">
                  <v>0.1269919483351505</v>
                </pt>
                <pt idx="2">
                  <v>0.08158518455591895</v>
                </pt>
                <pt idx="3">
                  <v>0.1502296352092973</v>
                </pt>
                <pt idx="4">
                  <v>0.1364198764716464</v>
                </pt>
                <pt idx="5">
                  <v>0.1136348946572476</v>
                </pt>
                <pt idx="6">
                  <v>0.1111427087391248</v>
                </pt>
                <pt idx="7">
                  <v>0.08315894701766079</v>
                </pt>
                <pt idx="8">
                  <v>0.05307142429264592</v>
                </pt>
                <pt idx="9">
                  <v>0.04250237770334533</v>
                </pt>
                <pt idx="10">
                  <v>0.07176153347687034</v>
                </pt>
                <pt idx="11">
                  <v>0.196899184271073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982919648"/>
        <axId val="2102943200"/>
      </barChart>
      <lineChart>
        <grouping val="standard"/>
        <varyColors val="0"/>
        <ser>
          <idx val="4"/>
          <order val="4"/>
          <tx>
            <strRef>
              <f>'Monthly Data 2025'!$B$2</f>
              <strCache>
                <ptCount val="1"/>
                <pt idx="0">
                  <v>Monetization KPI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('Monthly Data 2025'!$A$3:$A$14,'Monthly Data 2025'!$A$16:$A$19)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('Monthly Data 2025'!$B$3:$B$14,'Monthly Data 2025'!$B$16:$B$19)</f>
              <numCache>
                <formatCode>0.00%</formatCode>
                <ptCount val="16"/>
                <pt idx="0">
                  <v>0.16</v>
                </pt>
                <pt idx="1">
                  <v>0.16</v>
                </pt>
                <pt idx="2">
                  <v>0.16</v>
                </pt>
                <pt idx="3">
                  <v>0.16</v>
                </pt>
                <pt idx="4">
                  <v>0.16</v>
                </pt>
                <pt idx="5">
                  <v>0.16</v>
                </pt>
                <pt idx="6">
                  <v>0.16</v>
                </pt>
                <pt idx="7">
                  <v>0.16</v>
                </pt>
                <pt idx="8">
                  <v>0.16</v>
                </pt>
                <pt idx="9">
                  <v>0.16</v>
                </pt>
                <pt idx="10">
                  <v>0.16</v>
                </pt>
                <pt idx="11">
                  <v>0.16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82919648"/>
        <axId val="2102943200"/>
      </lineChart>
      <catAx>
        <axId val="19829196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02943200"/>
        <crosses val="autoZero"/>
        <auto val="1"/>
        <lblAlgn val="ctr"/>
        <lblOffset val="100"/>
        <noMultiLvlLbl val="0"/>
      </catAx>
      <valAx>
        <axId val="21029432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8291964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Saving Hours - Charging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2"/>
          <order val="0"/>
          <tx>
            <strRef>
              <f>'Data (2)'!$E$1</f>
              <strCache>
                <ptCount val="1"/>
                <pt idx="0">
                  <v>Charging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(2)'!$B$2:$B$14</f>
              <strCache>
                <ptCount val="13"/>
                <pt idx="0">
                  <v>Month</v>
                </pt>
                <pt idx="1">
                  <v>Jan</v>
                </pt>
                <pt idx="2">
                  <v>Feb</v>
                </pt>
                <pt idx="3">
                  <v>Mar</v>
                </pt>
                <pt idx="4">
                  <v>April</v>
                </pt>
                <pt idx="5">
                  <v>May</v>
                </pt>
                <pt idx="6">
                  <v>Jun</v>
                </pt>
                <pt idx="7">
                  <v>Jul</v>
                </pt>
                <pt idx="8">
                  <v>Aug</v>
                </pt>
                <pt idx="9">
                  <v>Sep</v>
                </pt>
                <pt idx="10">
                  <v>Oct</v>
                </pt>
                <pt idx="11">
                  <v>Nov</v>
                </pt>
                <pt idx="12">
                  <v>Dec</v>
                </pt>
              </strCache>
            </strRef>
          </cat>
          <val>
            <numRef>
              <f>'Data (2)'!$E$2:$E$14</f>
              <numCache>
                <formatCode>General</formatCode>
                <ptCount val="13"/>
                <pt idx="0">
                  <v>0</v>
                </pt>
                <pt idx="1">
                  <v>4235.24</v>
                </pt>
                <pt idx="2">
                  <v>5920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0817183"/>
        <axId val="40824863"/>
      </barChart>
      <catAx>
        <axId val="408171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0824863"/>
        <crosses val="autoZero"/>
        <auto val="1"/>
        <lblAlgn val="ctr"/>
        <lblOffset val="100"/>
        <noMultiLvlLbl val="0"/>
      </catAx>
      <valAx>
        <axId val="4082486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081718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Saving Hours- Billing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(2)'!$C$2</f>
              <strCache>
                <ptCount val="1"/>
                <pt idx="0">
                  <v>Total Savings - Billing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0"/>
            <dispEq val="0"/>
          </trendline>
          <cat>
            <strRef>
              <f>'Data (2)'!$B$3:$B$14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April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'Data (2)'!$C$3:$C$14</f>
              <numCache>
                <formatCode>General</formatCode>
                <ptCount val="12"/>
                <pt idx="0">
                  <v>191.1</v>
                </pt>
                <pt idx="1">
                  <v>136.5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25013375"/>
        <axId val="225014815"/>
      </barChart>
      <catAx>
        <axId val="2250133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25014815"/>
        <crosses val="autoZero"/>
        <auto val="1"/>
        <lblAlgn val="ctr"/>
        <lblOffset val="100"/>
        <noMultiLvlLbl val="0"/>
      </catAx>
      <valAx>
        <axId val="22501481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2501337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All Assets (2023 vs 2024)</a:t>
            </a:r>
          </a:p>
        </rich>
      </tx>
      <layout>
        <manualLayout>
          <xMode val="edge"/>
          <yMode val="edge"/>
          <wMode val="factor"/>
          <hMode val="factor"/>
          <x val="0.2985986559860865"/>
          <y val="0.00615466926164322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055544658845434"/>
          <y val="0.1147725039612029"/>
          <w val="0.9388888888888889"/>
          <h val="0.6825430853819588"/>
        </manualLayout>
      </layout>
      <barChart>
        <barDir val="col"/>
        <grouping val="clustered"/>
        <varyColors val="0"/>
        <ser>
          <idx val="0"/>
          <order val="0"/>
          <tx>
            <v>2023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'EB Downloads'!$A$9:$A$17</f>
              <strCache>
                <ptCount val="9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</strCache>
            </strRef>
          </cat>
          <val>
            <numRef>
              <f>'EB Downloads'!$B$9:$B$17</f>
              <numCache>
                <formatCode>General</formatCode>
                <ptCount val="9"/>
                <pt idx="0">
                  <v>19</v>
                </pt>
                <pt idx="1">
                  <v>34</v>
                </pt>
                <pt idx="2">
                  <v>24</v>
                </pt>
                <pt idx="3">
                  <v>19</v>
                </pt>
                <pt idx="4">
                  <v>24</v>
                </pt>
                <pt idx="5">
                  <v>32</v>
                </pt>
                <pt idx="6">
                  <v>17</v>
                </pt>
                <pt idx="7">
                  <v>9</v>
                </pt>
                <pt idx="8">
                  <v>21</v>
                </pt>
              </numCache>
            </numRef>
          </val>
        </ser>
        <ser>
          <idx val="1"/>
          <order val="1"/>
          <tx>
            <v>2024</v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'EB Downloads'!$A$9:$A$17</f>
              <strCache>
                <ptCount val="9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</strCache>
            </strRef>
          </cat>
          <val>
            <numRef>
              <f>'EB Downloads'!$D$9:$D$17</f>
              <numCache>
                <formatCode>General</formatCode>
                <ptCount val="9"/>
                <pt idx="0">
                  <v>42</v>
                </pt>
                <pt idx="1">
                  <v>25</v>
                </pt>
                <pt idx="2">
                  <v>16</v>
                </pt>
                <pt idx="3">
                  <v>17</v>
                </pt>
                <pt idx="4">
                  <v>27</v>
                </pt>
                <pt idx="5">
                  <v>22</v>
                </pt>
                <pt idx="6">
                  <v>17</v>
                </pt>
                <pt idx="7">
                  <v>23</v>
                </pt>
                <pt idx="8">
                  <v>30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329471"/>
        <axId val="129326111"/>
      </barChart>
      <catAx>
        <axId val="1293294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9326111"/>
        <crosses val="autoZero"/>
        <auto val="1"/>
        <lblAlgn val="ctr"/>
        <lblOffset val="100"/>
        <noMultiLvlLbl val="0"/>
      </catAx>
      <valAx>
        <axId val="129326111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29329471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3844477672714012"/>
          <y val="0.9037332363067185"/>
          <w val="0.2247675476797591"/>
          <h val="0.0962667351946749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2">
        <a:lumMod val="90000"/>
      </a:schemeClr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SDU Assets (2023 vs 2024)</a:t>
            </a:r>
          </a:p>
        </rich>
      </tx>
      <layout>
        <manualLayout>
          <xMode val="edge"/>
          <yMode val="edge"/>
          <wMode val="factor"/>
          <hMode val="factor"/>
          <x val="0.2861944444444444"/>
          <y val="0.00925925925925925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055555555555555"/>
          <y val="0.1300462962962963"/>
          <w val="0.9388888888888889"/>
          <h val="0.6712932000382167"/>
        </manualLayout>
      </layout>
      <barChart>
        <barDir val="col"/>
        <grouping val="clustered"/>
        <varyColors val="0"/>
        <ser>
          <idx val="0"/>
          <order val="0"/>
          <tx>
            <v>2023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'EB Downloads'!$A$9:$A$17</f>
              <strCache>
                <ptCount val="9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</strCache>
            </strRef>
          </cat>
          <val>
            <numRef>
              <f>'EB Downloads'!$C$9:$C$17</f>
              <numCache>
                <formatCode>General</formatCode>
                <ptCount val="9"/>
                <pt idx="0">
                  <v>17</v>
                </pt>
                <pt idx="1">
                  <v>23</v>
                </pt>
                <pt idx="2">
                  <v>21</v>
                </pt>
                <pt idx="3">
                  <v>11</v>
                </pt>
                <pt idx="4">
                  <v>13</v>
                </pt>
                <pt idx="5">
                  <v>26</v>
                </pt>
                <pt idx="6">
                  <v>5</v>
                </pt>
                <pt idx="7">
                  <v>5</v>
                </pt>
                <pt idx="8">
                  <v>10</v>
                </pt>
              </numCache>
            </numRef>
          </val>
        </ser>
        <ser>
          <idx val="1"/>
          <order val="1"/>
          <tx>
            <v>2024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'EB Downloads'!$A$9:$A$17</f>
              <strCache>
                <ptCount val="9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</strCache>
            </strRef>
          </cat>
          <val>
            <numRef>
              <f>'EB Downloads'!$E$9:$E$17</f>
              <numCache>
                <formatCode>General</formatCode>
                <ptCount val="9"/>
                <pt idx="0">
                  <v>27</v>
                </pt>
                <pt idx="1">
                  <v>8</v>
                </pt>
                <pt idx="2">
                  <v>12</v>
                </pt>
                <pt idx="3">
                  <v>11</v>
                </pt>
                <pt idx="4">
                  <v>19</v>
                </pt>
                <pt idx="5">
                  <v>20</v>
                </pt>
                <pt idx="6">
                  <v>10</v>
                </pt>
                <pt idx="7">
                  <v>20</v>
                </pt>
                <pt idx="8">
                  <v>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49937551"/>
        <axId val="249942351"/>
      </barChart>
      <catAx>
        <axId val="2499375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49942351"/>
        <crosses val="autoZero"/>
        <auto val="1"/>
        <lblAlgn val="ctr"/>
        <lblOffset val="100"/>
        <noMultiLvlLbl val="0"/>
      </catAx>
      <valAx>
        <axId val="249942351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249937551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062449693788276"/>
          <y val="0.8960398110943598"/>
          <w val="0.1875100202296544"/>
          <h val="0.0964206997175053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2">
        <a:lumMod val="90000"/>
      </a:schemeClr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Relationship Type="http://schemas.openxmlformats.org/officeDocument/2006/relationships/chart" Target="/xl/charts/chart15.xml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/Relationships>
</file>

<file path=xl/drawings/drawing1.xml><?xml version="1.0" encoding="utf-8"?>
<wsDr xmlns="http://schemas.openxmlformats.org/drawingml/2006/spreadsheetDrawing">
  <twoCellAnchor>
    <from>
      <col>5</col>
      <colOff>42334</colOff>
      <row>0</row>
      <rowOff>155927</rowOff>
    </from>
    <to>
      <col>12</col>
      <colOff>366889</colOff>
      <row>15</row>
      <rowOff>147460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7</col>
      <colOff>304800</colOff>
      <row>14</row>
      <rowOff>165100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495663</colOff>
      <row>0</row>
      <rowOff>0</rowOff>
    </from>
    <to>
      <col>16</col>
      <colOff>473271</colOff>
      <row>14</row>
      <rowOff>146299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0</colOff>
      <row>0</row>
      <rowOff>21165</rowOff>
    </from>
    <to>
      <col>12</col>
      <colOff>592666</colOff>
      <row>30</row>
      <rowOff>105832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13</col>
      <colOff>332318</colOff>
      <row>0</row>
      <rowOff>0</rowOff>
    </from>
    <to>
      <col>27</col>
      <colOff>582083</colOff>
      <row>30</row>
      <rowOff>84668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32</row>
      <rowOff>143711</rowOff>
    </from>
    <to>
      <col>13</col>
      <colOff>-1</colOff>
      <row>65</row>
      <rowOff>59044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13</col>
      <colOff>317500</colOff>
      <row>32</row>
      <rowOff>126999</rowOff>
    </from>
    <to>
      <col>27</col>
      <colOff>529166</colOff>
      <row>65</row>
      <rowOff>21166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28</col>
      <colOff>349250</colOff>
      <row>32</row>
      <rowOff>174625</rowOff>
    </from>
    <to>
      <col>42</col>
      <colOff>539750</colOff>
      <row>65</row>
      <rowOff>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84406</colOff>
      <row>104</row>
      <rowOff>154743</rowOff>
    </from>
    <to>
      <col>10</col>
      <colOff>168813</colOff>
      <row>123</row>
      <rowOff>98472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84404</colOff>
      <row>75</row>
      <rowOff>28136</rowOff>
    </from>
    <to>
      <col>29</col>
      <colOff>112541</colOff>
      <row>103</row>
      <rowOff>56271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5</col>
      <colOff>0</colOff>
      <row>29</row>
      <rowOff>42985</rowOff>
    </from>
    <to>
      <col>13</col>
      <colOff>85971</colOff>
      <row>46</row>
      <rowOff>128954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17</col>
      <colOff>524333</colOff>
      <row>0</row>
      <rowOff>92398</rowOff>
    </from>
    <to>
      <col>25</col>
      <colOff>517489</colOff>
      <row>15</row>
      <rowOff>28889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307729</colOff>
      <row>47</row>
      <rowOff>123092</rowOff>
    </from>
    <to>
      <col>13</col>
      <colOff>228599</colOff>
      <row>65</row>
      <rowOff>96716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9</col>
      <colOff>33503</colOff>
      <row>16</row>
      <rowOff>174180</rowOff>
    </from>
    <to>
      <col>16</col>
      <colOff>253311</colOff>
      <row>28</row>
      <rowOff>84852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9</col>
      <colOff>49133</colOff>
      <row>0</row>
      <rowOff>70339</rowOff>
    </from>
    <to>
      <col>16</col>
      <colOff>260149</colOff>
      <row>16</row>
      <rowOff>11164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6</col>
      <colOff>601714</colOff>
      <row>3</row>
      <rowOff>88882</rowOff>
    </from>
    <to>
      <col>15</col>
      <colOff>611945</colOff>
      <row>15</row>
      <rowOff>77371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3517</colOff>
      <row>15</row>
      <rowOff>182878</rowOff>
    </from>
    <to>
      <col>15</col>
      <colOff>597877</colOff>
      <row>28</row>
      <rowOff>28135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24" displayName="Table24" ref="A2:U15" headerRowCount="1" totalsRowShown="0" headerRowDxfId="61" headerRowBorderDxfId="60" tableBorderDxfId="59" totalsRowBorderDxfId="58">
  <autoFilter ref="A2:U15"/>
  <tableColumns count="21">
    <tableColumn id="1" name="Month" dataDxfId="57"/>
    <tableColumn id="2" name="Monetization KPI" dataDxfId="56"/>
    <tableColumn id="3" name="Total Number of Assets Download - Billing" dataDxfId="55"/>
    <tableColumn id="4" name="Total Number of Assets Reused with Savings - Billing" dataDxfId="54"/>
    <tableColumn id="5" name="Pending Feedback - Billing" dataDxfId="53"/>
    <tableColumn id="6" name="Asset Savings - Billing" dataDxfId="52"/>
    <tableColumn id="7" name="Automation Savings - Billing" dataDxfId="51"/>
    <tableColumn id="8" name="Total Savings - Billing" dataDxfId="50"/>
    <tableColumn id="9" name="Billability Hours - Billing" dataDxfId="49"/>
    <tableColumn id="10" name="Billing Savings %" dataDxfId="48">
      <calculatedColumnFormula>H3/I3</calculatedColumnFormula>
    </tableColumn>
    <tableColumn id="11" name="Total Number of Assets Download - Charging" dataDxfId="47"/>
    <tableColumn id="12" name="Total Number of Assets Reused with Savings - Charging" dataDxfId="46"/>
    <tableColumn id="13" name="Pending Feedback - Charging" dataDxfId="45"/>
    <tableColumn id="14" name="Asset Savings - Charging" dataDxfId="44"/>
    <tableColumn id="15" name="Automation Savings - Charging" dataDxfId="43"/>
    <tableColumn id="16" name="Total Savings - Charging" dataDxfId="42"/>
    <tableColumn id="17" name="Billability Hours - Charging" dataDxfId="41"/>
    <tableColumn id="18" name="Charging Savings" dataDxfId="40">
      <calculatedColumnFormula>P3/Q3</calculatedColumnFormula>
    </tableColumn>
    <tableColumn id="19" name="Total Savings - Monetization" dataDxfId="39">
      <calculatedColumnFormula>P3+H3</calculatedColumnFormula>
    </tableColumn>
    <tableColumn id="20" name="Billability Hours - Monetization" dataDxfId="38">
      <calculatedColumnFormula>I3+Q3</calculatedColumnFormula>
    </tableColumn>
    <tableColumn id="21" name="Monetization Savings %" dataDxfId="37" dataCellStyle="Percent">
      <calculatedColumnFormula>S3/T3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U15" headerRowCount="1" totalsRowShown="0" headerRowDxfId="36" headerRowBorderDxfId="35" tableBorderDxfId="34" totalsRowBorderDxfId="33">
  <autoFilter ref="A2:U15"/>
  <tableColumns count="21">
    <tableColumn id="1" name="Month" dataDxfId="32"/>
    <tableColumn id="2" name="Monetization KPI" dataDxfId="31"/>
    <tableColumn id="3" name="Total Number of Assets Download - Billing" dataDxfId="30"/>
    <tableColumn id="4" name="Total Number of Assets Reused with Savings - Billing" dataDxfId="29"/>
    <tableColumn id="5" name="Pending Feedback - Billing" dataDxfId="28"/>
    <tableColumn id="6" name="Asset Savings - Billing" dataDxfId="27"/>
    <tableColumn id="7" name="Automation Savings - Billing" dataDxfId="26"/>
    <tableColumn id="8" name="Total Savings - Billing" dataDxfId="25"/>
    <tableColumn id="9" name="Billability Hours - Billing" dataDxfId="24"/>
    <tableColumn id="10" name="Billing Savings %" dataDxfId="23">
      <calculatedColumnFormula>H3/I3</calculatedColumnFormula>
    </tableColumn>
    <tableColumn id="11" name="Total Number of Assets Download - Charging" dataDxfId="22"/>
    <tableColumn id="12" name="Total Number of Assets Reused with Savings - Charging" dataDxfId="21"/>
    <tableColumn id="13" name="Pending Feedback - Charging" dataDxfId="20"/>
    <tableColumn id="14" name="Asset Savings - Charging" dataDxfId="19"/>
    <tableColumn id="15" name="Automation Savings - Charging" dataDxfId="18"/>
    <tableColumn id="16" name="Total Savings - Charging" dataDxfId="17"/>
    <tableColumn id="17" name="Billability Hours - Charging" dataDxfId="16"/>
    <tableColumn id="18" name="Charging Savings" dataDxfId="15">
      <calculatedColumnFormula>P3/Q3</calculatedColumnFormula>
    </tableColumn>
    <tableColumn id="19" name="Total Savings - Monetization" dataDxfId="14">
      <calculatedColumnFormula>P3+H3</calculatedColumnFormula>
    </tableColumn>
    <tableColumn id="20" name="Billability Hours - Monetization" dataDxfId="13">
      <calculatedColumnFormula>I3+Q3</calculatedColumnFormula>
    </tableColumn>
    <tableColumn id="21" name="Monetization Savings %" dataDxfId="12" dataCellStyle="Percent">
      <calculatedColumnFormula>S3/T3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5" displayName="Table25" ref="A2:AK15" headerRowCount="1" totalsRowShown="0" headerRowDxfId="102" headerRowBorderDxfId="101" tableBorderDxfId="100" totalsRowBorderDxfId="99">
  <autoFilter ref="A2:AK15"/>
  <tableColumns count="37">
    <tableColumn id="1" name="Month" dataDxfId="98"/>
    <tableColumn id="2" name="Monetization KPI" dataDxfId="97"/>
    <tableColumn id="3" name="Total Number of Assets Download - Billing" dataDxfId="96"/>
    <tableColumn id="4" name="Total Number of Assets Reused with Savings - Billing" dataDxfId="95"/>
    <tableColumn id="5" name="Pending Feedback - Billing" dataDxfId="94"/>
    <tableColumn id="6" name="Asset Savings - Billing" dataDxfId="93"/>
    <tableColumn id="7" name="Automation Savings - Billing" dataDxfId="92"/>
    <tableColumn id="8" name="Total Savings - Billing" dataDxfId="91"/>
    <tableColumn id="9" name="Billability Hours - Billing" dataDxfId="90"/>
    <tableColumn id="10" name="Billing Savings %" dataDxfId="89">
      <calculatedColumnFormula>H3/I3</calculatedColumnFormula>
    </tableColumn>
    <tableColumn id="46" name="Total Number of Assets Download - Charging" dataDxfId="88"/>
    <tableColumn id="47" name="Total Number of Assets Reused with Savings - Charging" dataDxfId="87"/>
    <tableColumn id="48" name="Pending Feedback - Charging" dataDxfId="86"/>
    <tableColumn id="49" name="Asset Savings - Charging" dataDxfId="85"/>
    <tableColumn id="50" name="Automation Savings - Charging" dataDxfId="84"/>
    <tableColumn id="51" name="Total Savings - Charging" dataDxfId="83">
      <calculatedColumnFormula>Table25[[#This Row],[Asset Savings - Charging]]+Table25[[#This Row],[Automation Savings - Charging]]</calculatedColumnFormula>
    </tableColumn>
    <tableColumn id="52" name="Billability Hours - Charging" dataDxfId="82"/>
    <tableColumn id="53" name="Charging Savings %" dataDxfId="81">
      <calculatedColumnFormula>Table25[[#This Row],[Total Savings - Charging]]/Table25[[#This Row],[Billability Hours - Charging]]</calculatedColumnFormula>
    </tableColumn>
    <tableColumn id="38" name="Total Number of Assets Download - SDC CS&amp;DFE" dataDxfId="80"/>
    <tableColumn id="39" name="Total Number of Assets Reused with Savings - SDC CS&amp;DFE" dataDxfId="79"/>
    <tableColumn id="40" name="Pending Feedback - SDC CS&amp;DFE" dataDxfId="78"/>
    <tableColumn id="41" name="Asset Savings - SDC CS&amp;DFE" dataDxfId="77"/>
    <tableColumn id="42" name="Automation Savings - SDC CS&amp;DFE" dataDxfId="76"/>
    <tableColumn id="43" name="Total Savings - SDC CS&amp;DFE" dataDxfId="75">
      <calculatedColumnFormula>Table25[[#This Row],[Asset Savings - SDC CS&amp;DFE]]+Table25[[#This Row],[Automation Savings - SDC CS&amp;DFE]]</calculatedColumnFormula>
    </tableColumn>
    <tableColumn id="44" name="Billability Hours - SDC CS&amp;DFE" dataDxfId="74"/>
    <tableColumn id="45" name="SDC CS&amp;DFE Savings %" dataDxfId="73">
      <calculatedColumnFormula>Table25[[#This Row],[Total Savings - SDC CS&amp;DFE]]/Table25[[#This Row],[Billability Hours - SDC CS&amp;DFE]]</calculatedColumnFormula>
    </tableColumn>
    <tableColumn id="11" name="Total Number of Assets Download - SDC Billing&amp;MW" dataDxfId="72"/>
    <tableColumn id="12" name="Total Number of Assets Reused with Savings - SDC Billing&amp;MW" dataDxfId="71"/>
    <tableColumn id="13" name="Pending Feedback - SDC Billing&amp;MW" dataDxfId="70"/>
    <tableColumn id="14" name="Asset Savings - SDC Billing&amp;MW" dataDxfId="69"/>
    <tableColumn id="15" name="Automation Savings - SDC Billing&amp;MW" dataDxfId="68"/>
    <tableColumn id="16" name="Total Savings - SDC Billing&amp;MW" dataDxfId="67"/>
    <tableColumn id="17" name="Billability Hours - SDC Billing&amp;MW" dataDxfId="66"/>
    <tableColumn id="18" name="SDC Billing&amp;MW Savings %" dataDxfId="65">
      <calculatedColumnFormula>AF3/AG3</calculatedColumnFormula>
    </tableColumn>
    <tableColumn id="19" name="Total Savings - Monetization" dataDxfId="64">
      <calculatedColumnFormula>AF3+H3</calculatedColumnFormula>
    </tableColumn>
    <tableColumn id="20" name="Billability Hours - Monetization" dataDxfId="63">
      <calculatedColumnFormula>I3+AG3</calculatedColumnFormula>
    </tableColumn>
    <tableColumn id="21" name="Monetization Savings %" dataDxfId="62" dataCellStyle="Percent">
      <calculatedColumnFormula>AI3/AJ3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22" displayName="Table22" ref="B2:H15" headerRowCount="1" totalsRowShown="0" headerRowDxfId="11" headerRowBorderDxfId="10" tableBorderDxfId="9" totalsRowBorderDxfId="8">
  <tableColumns count="7">
    <tableColumn id="1" name="Month" dataDxfId="7"/>
    <tableColumn id="8" name="Total Savings - Billing" dataDxfId="6"/>
    <tableColumn id="10" name="Billing Savings %" dataDxfId="5"/>
    <tableColumn id="16" name="Total Savings - Charging" dataDxfId="4"/>
    <tableColumn id="18" name="Charging Savings %" dataDxfId="3"/>
    <tableColumn id="19" name="Total Savings - Monetization" dataDxfId="2"/>
    <tableColumn id="21" name="Monetization Savings %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5"/>
  <sheetViews>
    <sheetView topLeftCell="A2" workbookViewId="0">
      <selection activeCell="A7" sqref="A7"/>
    </sheetView>
  </sheetViews>
  <sheetFormatPr baseColWidth="8" defaultRowHeight="14.5"/>
  <sheetData>
    <row r="1">
      <c r="A1" s="4" t="n"/>
      <c r="B1" s="5" t="n"/>
      <c r="C1" s="133" t="inlineStr">
        <is>
          <t>Billing</t>
        </is>
      </c>
      <c r="D1" s="134" t="n"/>
      <c r="E1" s="134" t="n"/>
      <c r="F1" s="134" t="n"/>
      <c r="G1" s="134" t="n"/>
      <c r="H1" s="134" t="n"/>
      <c r="I1" s="134" t="n"/>
      <c r="J1" s="135" t="n"/>
      <c r="K1" s="136" t="inlineStr">
        <is>
          <t>Charging</t>
        </is>
      </c>
      <c r="L1" s="134" t="n"/>
      <c r="M1" s="134" t="n"/>
      <c r="N1" s="134" t="n"/>
      <c r="O1" s="134" t="n"/>
      <c r="P1" s="134" t="n"/>
      <c r="Q1" s="134" t="n"/>
      <c r="R1" s="135" t="n"/>
      <c r="S1" s="113" t="inlineStr">
        <is>
          <t>Overall</t>
        </is>
      </c>
    </row>
    <row r="2" ht="101.5" customHeight="1">
      <c r="A2" s="6" t="inlineStr">
        <is>
          <t>Month</t>
        </is>
      </c>
      <c r="B2" s="7" t="inlineStr">
        <is>
          <t>Monetization KPI</t>
        </is>
      </c>
      <c r="C2" s="33" t="inlineStr">
        <is>
          <t>Total Number of Assets Download - Billing</t>
        </is>
      </c>
      <c r="D2" s="33" t="inlineStr">
        <is>
          <t>Total Number of Assets Reused with Savings - Billing</t>
        </is>
      </c>
      <c r="E2" s="33" t="inlineStr">
        <is>
          <t>Pending Feedback - Billing</t>
        </is>
      </c>
      <c r="F2" s="33" t="inlineStr">
        <is>
          <t>Asset Savings - Billing</t>
        </is>
      </c>
      <c r="G2" s="33" t="inlineStr">
        <is>
          <t>Automation Savings - Billing</t>
        </is>
      </c>
      <c r="H2" s="33" t="inlineStr">
        <is>
          <t>Total Savings - Billing</t>
        </is>
      </c>
      <c r="I2" s="33" t="inlineStr">
        <is>
          <t>Billability Hours - Billing</t>
        </is>
      </c>
      <c r="J2" s="33" t="inlineStr">
        <is>
          <t>Billing Savings %</t>
        </is>
      </c>
      <c r="K2" s="32" t="inlineStr">
        <is>
          <t>Total Number of Assets Download - Charging</t>
        </is>
      </c>
      <c r="L2" s="32" t="inlineStr">
        <is>
          <t>Total Number of Assets Reused with Savings - Charging</t>
        </is>
      </c>
      <c r="M2" s="32" t="inlineStr">
        <is>
          <t>Pending Feedback - Charging</t>
        </is>
      </c>
      <c r="N2" s="32" t="inlineStr">
        <is>
          <t>Asset Savings - Charging</t>
        </is>
      </c>
      <c r="O2" s="32" t="inlineStr">
        <is>
          <t>Automation Savings - Charging</t>
        </is>
      </c>
      <c r="P2" s="32" t="inlineStr">
        <is>
          <t>Total Savings - Charging</t>
        </is>
      </c>
      <c r="Q2" s="32" t="inlineStr">
        <is>
          <t>Billability Hours - Charging</t>
        </is>
      </c>
      <c r="R2" s="32" t="inlineStr">
        <is>
          <t>Charging Savings</t>
        </is>
      </c>
      <c r="S2" s="7" t="inlineStr">
        <is>
          <t>Total Savings - Monetization</t>
        </is>
      </c>
      <c r="T2" s="7" t="inlineStr">
        <is>
          <t>Billability Hours - Monetization</t>
        </is>
      </c>
      <c r="U2" s="8" t="inlineStr">
        <is>
          <t>Monetization Savings %</t>
        </is>
      </c>
    </row>
    <row r="3">
      <c r="A3" s="9" t="inlineStr">
        <is>
          <t>Jan</t>
        </is>
      </c>
      <c r="B3" s="10" t="n">
        <v>0.156</v>
      </c>
      <c r="C3" s="11" t="n">
        <v>44</v>
      </c>
      <c r="D3" s="11" t="n">
        <v>14</v>
      </c>
      <c r="E3" s="11" t="n">
        <v>28</v>
      </c>
      <c r="F3" s="11" t="n">
        <v>147.02</v>
      </c>
      <c r="G3" s="11" t="n">
        <v>0</v>
      </c>
      <c r="H3" s="11">
        <f>Table24[[#This Row],[Asset Savings - Billing]]+Table24[[#This Row],[Automation Savings - Billing]]</f>
        <v/>
      </c>
      <c r="I3" s="11" t="n">
        <v>10667</v>
      </c>
      <c r="J3" s="12">
        <f>H3/I3</f>
        <v/>
      </c>
      <c r="K3" s="11" t="n">
        <v>378</v>
      </c>
      <c r="L3" s="11" t="n">
        <v>123</v>
      </c>
      <c r="M3" s="11" t="n">
        <v>193</v>
      </c>
      <c r="N3" s="11" t="n">
        <v>2758.05</v>
      </c>
      <c r="O3" s="11" t="n">
        <v>2201</v>
      </c>
      <c r="P3" s="11">
        <f>SUM(Table24[[#This Row],[Asset Savings - Charging]]+Table24[[#This Row],[Automation Savings - Charging]])</f>
        <v/>
      </c>
      <c r="Q3" s="11" t="n">
        <v>54796</v>
      </c>
      <c r="R3" s="13">
        <f>P3/Q3</f>
        <v/>
      </c>
      <c r="S3" s="14">
        <f>P3+H3</f>
        <v/>
      </c>
      <c r="T3" s="14">
        <f>I3+Q3</f>
        <v/>
      </c>
      <c r="U3" s="15">
        <f>S3/T3</f>
        <v/>
      </c>
    </row>
    <row r="4">
      <c r="A4" s="9" t="inlineStr">
        <is>
          <t>Feb</t>
        </is>
      </c>
      <c r="B4" s="10" t="n">
        <v>0.156</v>
      </c>
      <c r="C4" s="11" t="n">
        <v>25</v>
      </c>
      <c r="D4" s="11" t="n">
        <v>5</v>
      </c>
      <c r="E4" s="11" t="n">
        <v>14</v>
      </c>
      <c r="F4" s="11" t="n">
        <v>202</v>
      </c>
      <c r="G4" s="11" t="n">
        <v>0.8</v>
      </c>
      <c r="H4" s="11">
        <f>Table24[[#This Row],[Asset Savings - Billing]]+Table24[[#This Row],[Automation Savings - Billing]]</f>
        <v/>
      </c>
      <c r="I4" s="11" t="n">
        <v>8705</v>
      </c>
      <c r="J4" s="12">
        <f>H4/I4</f>
        <v/>
      </c>
      <c r="K4" s="11" t="n">
        <v>473</v>
      </c>
      <c r="L4" s="11" t="n">
        <v>290</v>
      </c>
      <c r="M4" s="11" t="n">
        <v>47</v>
      </c>
      <c r="N4" s="11" t="n">
        <v>4514.5</v>
      </c>
      <c r="O4" s="11" t="n">
        <v>4231.86</v>
      </c>
      <c r="P4" s="11" t="n">
        <v>9004</v>
      </c>
      <c r="Q4" s="11" t="n">
        <v>51348</v>
      </c>
      <c r="R4" s="13">
        <f>P4/Q4</f>
        <v/>
      </c>
      <c r="S4" s="14">
        <f>P4+H4</f>
        <v/>
      </c>
      <c r="T4" s="14">
        <f>I4+Q4</f>
        <v/>
      </c>
      <c r="U4" s="15">
        <f>S4/T4</f>
        <v/>
      </c>
    </row>
    <row r="5">
      <c r="A5" s="9" t="inlineStr">
        <is>
          <t>Mar</t>
        </is>
      </c>
      <c r="B5" s="10" t="n">
        <v>0.156</v>
      </c>
      <c r="C5" s="11" t="n">
        <v>16</v>
      </c>
      <c r="D5" s="11" t="n">
        <v>3</v>
      </c>
      <c r="E5" s="11" t="n">
        <v>5</v>
      </c>
      <c r="F5" s="11">
        <f>70-18</f>
        <v/>
      </c>
      <c r="G5" s="11" t="n">
        <v>0</v>
      </c>
      <c r="H5" s="11">
        <f>Table24[[#This Row],[Asset Savings - Billing]]+Table24[[#This Row],[Automation Savings - Billing]]</f>
        <v/>
      </c>
      <c r="I5" s="11" t="n">
        <v>8515.25</v>
      </c>
      <c r="J5" s="12">
        <f>H5/I5</f>
        <v/>
      </c>
      <c r="K5" s="11" t="n">
        <v>401</v>
      </c>
      <c r="L5" s="11" t="n">
        <v>216</v>
      </c>
      <c r="M5" s="11" t="n">
        <v>106</v>
      </c>
      <c r="N5" s="11" t="n">
        <v>3416.43</v>
      </c>
      <c r="O5" s="11" t="n">
        <v>5168</v>
      </c>
      <c r="P5" s="11">
        <f>SUM(Table24[[#This Row],[Asset Savings - Charging]]+Table24[[#This Row],[Automation Savings - Charging]])</f>
        <v/>
      </c>
      <c r="Q5" s="11" t="n">
        <v>50460.78</v>
      </c>
      <c r="R5" s="13">
        <f>P5/Q5</f>
        <v/>
      </c>
      <c r="S5" s="14">
        <f>P5+H5</f>
        <v/>
      </c>
      <c r="T5" s="14">
        <f>I5+Q5</f>
        <v/>
      </c>
      <c r="U5" s="15">
        <f>S5/T5</f>
        <v/>
      </c>
    </row>
    <row r="6">
      <c r="A6" s="9" t="inlineStr">
        <is>
          <t>April</t>
        </is>
      </c>
      <c r="B6" s="10" t="n">
        <v>0.156</v>
      </c>
      <c r="C6" s="11" t="n">
        <v>19</v>
      </c>
      <c r="D6" s="11" t="n">
        <v>6</v>
      </c>
      <c r="E6" s="11" t="n">
        <v>5</v>
      </c>
      <c r="F6" s="11" t="n">
        <v>452</v>
      </c>
      <c r="G6" s="11" t="n">
        <v>750.5</v>
      </c>
      <c r="H6" s="11">
        <f>Table24[[#This Row],[Asset Savings - Billing]]+Table24[[#This Row],[Automation Savings - Billing]]</f>
        <v/>
      </c>
      <c r="I6" s="11" t="n">
        <v>9092.049999999999</v>
      </c>
      <c r="J6" s="12">
        <f>H6/I6</f>
        <v/>
      </c>
      <c r="K6" s="11" t="n">
        <v>444</v>
      </c>
      <c r="L6" s="11" t="n">
        <v>282</v>
      </c>
      <c r="M6" s="11" t="n">
        <v>165</v>
      </c>
      <c r="N6" s="11" t="n">
        <v>4221.91</v>
      </c>
      <c r="O6" s="11" t="n">
        <v>5639.37</v>
      </c>
      <c r="P6" s="11">
        <f>SUM(Table24[[#This Row],[Asset Savings - Charging]]+Table24[[#This Row],[Automation Savings - Charging]])</f>
        <v/>
      </c>
      <c r="Q6" s="11" t="n">
        <v>52768.98</v>
      </c>
      <c r="R6" s="13">
        <f>P6/Q6</f>
        <v/>
      </c>
      <c r="S6" s="14">
        <f>P6+H6</f>
        <v/>
      </c>
      <c r="T6" s="14">
        <f>I6+Q6</f>
        <v/>
      </c>
      <c r="U6" s="15">
        <f>S6/T6</f>
        <v/>
      </c>
    </row>
    <row r="7">
      <c r="A7" s="9" t="inlineStr">
        <is>
          <t>May</t>
        </is>
      </c>
      <c r="B7" s="10" t="n">
        <v>0.156</v>
      </c>
      <c r="C7" s="11" t="n">
        <v>28</v>
      </c>
      <c r="D7" s="11" t="n">
        <v>11</v>
      </c>
      <c r="E7" s="11" t="n">
        <v>5</v>
      </c>
      <c r="F7" s="11" t="n">
        <v>708.3200000000001</v>
      </c>
      <c r="G7" s="11" t="n">
        <v>202</v>
      </c>
      <c r="H7" s="11">
        <f>Table24[[#This Row],[Asset Savings - Billing]]+Table24[[#This Row],[Automation Savings - Billing]]</f>
        <v/>
      </c>
      <c r="I7" s="11" t="n">
        <v>9998</v>
      </c>
      <c r="J7" s="12">
        <f>H7/I7</f>
        <v/>
      </c>
      <c r="K7" s="11" t="n">
        <v>394</v>
      </c>
      <c r="L7" s="11" t="n">
        <v>247</v>
      </c>
      <c r="M7" s="11" t="n">
        <v>125</v>
      </c>
      <c r="N7" s="11" t="n">
        <v>3647.89</v>
      </c>
      <c r="O7" s="11" t="n">
        <v>8652.99</v>
      </c>
      <c r="P7" s="11">
        <f>SUM(Table24[[#This Row],[Asset Savings - Charging]]+Table24[[#This Row],[Automation Savings - Charging]])</f>
        <v/>
      </c>
      <c r="Q7" s="11" t="n">
        <v>54648</v>
      </c>
      <c r="R7" s="12">
        <f>P7/Q7</f>
        <v/>
      </c>
      <c r="S7" s="14">
        <f>P7+H7</f>
        <v/>
      </c>
      <c r="T7" s="14">
        <f>I7+Q7</f>
        <v/>
      </c>
      <c r="U7" s="15">
        <f>S7/T7</f>
        <v/>
      </c>
    </row>
    <row r="8">
      <c r="A8" s="9" t="inlineStr">
        <is>
          <t>Jun</t>
        </is>
      </c>
      <c r="B8" s="10" t="n">
        <v>0.156</v>
      </c>
      <c r="C8" s="11" t="n">
        <v>22</v>
      </c>
      <c r="D8" s="11" t="n">
        <v>7</v>
      </c>
      <c r="E8" s="11" t="n">
        <v>1</v>
      </c>
      <c r="F8" s="11" t="n">
        <v>687</v>
      </c>
      <c r="G8" s="11" t="n">
        <v>38</v>
      </c>
      <c r="H8" s="11">
        <f>Table24[[#This Row],[Asset Savings - Billing]]+Table24[[#This Row],[Automation Savings - Billing]]</f>
        <v/>
      </c>
      <c r="I8" s="11" t="n">
        <v>9858</v>
      </c>
      <c r="J8" s="12">
        <f>H8/I8</f>
        <v/>
      </c>
      <c r="K8" s="11" t="n">
        <v>368</v>
      </c>
      <c r="L8" s="11" t="n">
        <v>253</v>
      </c>
      <c r="M8" s="11" t="n">
        <v>120</v>
      </c>
      <c r="N8" s="11" t="n">
        <v>3633</v>
      </c>
      <c r="O8" s="11" t="n">
        <v>3813</v>
      </c>
      <c r="P8" s="11">
        <f>SUM(Table24[[#This Row],[Asset Savings - Charging]]+Table24[[#This Row],[Automation Savings - Charging]])</f>
        <v/>
      </c>
      <c r="Q8" s="11" t="n">
        <v>49661</v>
      </c>
      <c r="R8" s="12">
        <f>P8/Q8</f>
        <v/>
      </c>
      <c r="S8" s="14">
        <f>P8+H8</f>
        <v/>
      </c>
      <c r="T8" s="14">
        <f>I8+Q8</f>
        <v/>
      </c>
      <c r="U8" s="15">
        <f>S8/T8</f>
        <v/>
      </c>
    </row>
    <row r="9">
      <c r="A9" s="9" t="inlineStr">
        <is>
          <t>Jul</t>
        </is>
      </c>
      <c r="B9" s="10" t="n">
        <v>0.156</v>
      </c>
      <c r="C9" s="11" t="n">
        <v>17</v>
      </c>
      <c r="D9" s="11" t="n">
        <v>8</v>
      </c>
      <c r="E9" s="11" t="n">
        <v>4</v>
      </c>
      <c r="F9" s="11" t="n">
        <v>327</v>
      </c>
      <c r="G9" s="11" t="n">
        <v>665.45</v>
      </c>
      <c r="H9" s="11">
        <f>SUM(Table24[[#This Row],[Asset Savings - Billing]:[Automation Savings - Billing]])</f>
        <v/>
      </c>
      <c r="I9" s="11" t="n">
        <v>12327.62</v>
      </c>
      <c r="J9" s="12">
        <f>H9/I9</f>
        <v/>
      </c>
      <c r="K9" s="11" t="n">
        <v>424</v>
      </c>
      <c r="L9" s="11" t="n">
        <v>226</v>
      </c>
      <c r="M9" s="11" t="n">
        <v>41</v>
      </c>
      <c r="N9" s="11" t="n">
        <v>2915.54</v>
      </c>
      <c r="O9" s="11" t="n">
        <v>3942.04</v>
      </c>
      <c r="P9" s="11">
        <f>SUM(Table24[[#This Row],[Asset Savings - Charging]]+Table24[[#This Row],[Automation Savings - Charging]])</f>
        <v/>
      </c>
      <c r="Q9" s="11" t="n">
        <v>52333</v>
      </c>
      <c r="R9" s="12">
        <f>P9/Q9</f>
        <v/>
      </c>
      <c r="S9" s="14">
        <f>P9+H9</f>
        <v/>
      </c>
      <c r="T9" s="14">
        <f>I9+Q9</f>
        <v/>
      </c>
      <c r="U9" s="15">
        <f>S9/T9</f>
        <v/>
      </c>
    </row>
    <row r="10">
      <c r="A10" s="84" t="inlineStr">
        <is>
          <t>Aug</t>
        </is>
      </c>
      <c r="B10" s="10" t="n">
        <v>0.156</v>
      </c>
      <c r="C10" s="11" t="n">
        <v>25</v>
      </c>
      <c r="D10" s="11" t="n">
        <v>12</v>
      </c>
      <c r="E10" s="11" t="n">
        <v>3</v>
      </c>
      <c r="F10" s="11" t="n">
        <v>597.5</v>
      </c>
      <c r="G10" s="11" t="n">
        <v>14</v>
      </c>
      <c r="H10" s="11">
        <f>SUM(Table24[[#This Row],[Asset Savings - Billing]:[Automation Savings - Billing]])</f>
        <v/>
      </c>
      <c r="I10" s="11" t="n">
        <v>8960</v>
      </c>
      <c r="J10" s="12">
        <f>H10/I10</f>
        <v/>
      </c>
      <c r="K10" s="11" t="n">
        <v>299</v>
      </c>
      <c r="L10" s="11" t="n">
        <v>210</v>
      </c>
      <c r="M10" s="11" t="n">
        <v>52</v>
      </c>
      <c r="N10" s="11" t="n">
        <v>2622.4</v>
      </c>
      <c r="O10" s="11" t="n">
        <v>5126.5</v>
      </c>
      <c r="P10" s="11">
        <f>SUM(Table24[[#This Row],[Asset Savings - Charging]]+Table24[[#This Row],[Automation Savings - Charging]])</f>
        <v/>
      </c>
      <c r="Q10" s="11" t="n">
        <v>44748</v>
      </c>
      <c r="R10" s="12">
        <f>P10/Q10</f>
        <v/>
      </c>
      <c r="S10" s="14">
        <f>P10+H10</f>
        <v/>
      </c>
      <c r="T10" s="14">
        <f>I10+Q10</f>
        <v/>
      </c>
      <c r="U10" s="45">
        <f>S10/T10</f>
        <v/>
      </c>
    </row>
    <row r="11">
      <c r="A11" s="9" t="inlineStr">
        <is>
          <t>Sep</t>
        </is>
      </c>
      <c r="B11" s="10" t="n">
        <v>0.156</v>
      </c>
      <c r="C11" s="11" t="n">
        <v>30</v>
      </c>
      <c r="D11" s="11" t="n">
        <v>10</v>
      </c>
      <c r="E11" s="11" t="n">
        <v>4</v>
      </c>
      <c r="F11" s="11" t="n">
        <v>833.1</v>
      </c>
      <c r="G11" s="11" t="n">
        <v>230</v>
      </c>
      <c r="H11" s="11">
        <f>SUM(Table24[[#This Row],[Asset Savings - Billing]:[Automation Savings - Billing]])</f>
        <v/>
      </c>
      <c r="I11" s="11" t="n">
        <v>9265.85</v>
      </c>
      <c r="J11" s="12">
        <f>H11/I11</f>
        <v/>
      </c>
      <c r="K11" s="11" t="n">
        <v>205</v>
      </c>
      <c r="L11" s="11" t="n">
        <v>214</v>
      </c>
      <c r="M11" s="11" t="n">
        <v>34</v>
      </c>
      <c r="N11" s="11" t="n">
        <v>1965.36</v>
      </c>
      <c r="O11" s="11" t="n">
        <v>3738.5</v>
      </c>
      <c r="P11" s="11">
        <f>SUM(Table24[[#This Row],[Asset Savings - Charging]]+Table24[[#This Row],[Automation Savings - Charging]])</f>
        <v/>
      </c>
      <c r="Q11" s="11" t="n">
        <v>46314.13</v>
      </c>
      <c r="R11" s="12">
        <f>P11/Q11</f>
        <v/>
      </c>
      <c r="S11" s="14">
        <f>P11+H11</f>
        <v/>
      </c>
      <c r="T11" s="14">
        <f>I11+Q11</f>
        <v/>
      </c>
      <c r="U11" s="15">
        <f>S11/T11</f>
        <v/>
      </c>
    </row>
    <row r="12">
      <c r="A12" s="9" t="inlineStr">
        <is>
          <t>Oct</t>
        </is>
      </c>
      <c r="B12" s="10" t="n">
        <v>0.156</v>
      </c>
      <c r="C12" s="11" t="n">
        <v>10</v>
      </c>
      <c r="D12" s="11" t="n">
        <v>7</v>
      </c>
      <c r="E12" s="11" t="n">
        <v>3</v>
      </c>
      <c r="F12" s="11" t="n">
        <v>0.8</v>
      </c>
      <c r="G12" s="11" t="n">
        <v>564</v>
      </c>
      <c r="H12" s="11">
        <f>SUM(Table24[[#This Row],[Asset Savings - Billing]:[Automation Savings - Billing]])</f>
        <v/>
      </c>
      <c r="I12" s="11" t="n">
        <v>8979</v>
      </c>
      <c r="J12" s="12">
        <f>H12/I12</f>
        <v/>
      </c>
      <c r="K12" s="11" t="n">
        <v>389</v>
      </c>
      <c r="L12" s="11" t="n">
        <v>261</v>
      </c>
      <c r="M12" s="11" t="n">
        <v>80</v>
      </c>
      <c r="N12" s="11" t="n">
        <v>3300.88</v>
      </c>
      <c r="O12" s="11" t="n">
        <v>3156</v>
      </c>
      <c r="P12" s="11">
        <f>SUM(Table24[[#This Row],[Asset Savings - Charging]]+Table24[[#This Row],[Automation Savings - Charging]])</f>
        <v/>
      </c>
      <c r="Q12" s="11" t="n">
        <v>48080</v>
      </c>
      <c r="R12" s="12">
        <f>P12/Q12</f>
        <v/>
      </c>
      <c r="S12" s="14">
        <f>P12+H12</f>
        <v/>
      </c>
      <c r="T12" s="14">
        <f>I12+Q12</f>
        <v/>
      </c>
      <c r="U12" s="15">
        <f>S12/T12</f>
        <v/>
      </c>
    </row>
    <row r="13">
      <c r="A13" s="9" t="inlineStr">
        <is>
          <t>Nov</t>
        </is>
      </c>
      <c r="B13" s="10" t="n">
        <v>0.156</v>
      </c>
      <c r="C13" s="11" t="n">
        <v>4</v>
      </c>
      <c r="D13" s="11" t="n">
        <v>1</v>
      </c>
      <c r="E13" s="11" t="n">
        <v>3</v>
      </c>
      <c r="F13" s="11" t="n">
        <v>12</v>
      </c>
      <c r="G13" s="11" t="n">
        <v>0</v>
      </c>
      <c r="H13" s="11">
        <f>SUM(Table24[[#This Row],[Asset Savings - Billing]:[Automation Savings - Billing]])</f>
        <v/>
      </c>
      <c r="I13" s="11" t="n">
        <v>9343.25</v>
      </c>
      <c r="J13" s="12">
        <f>H13/I13</f>
        <v/>
      </c>
      <c r="K13" s="11" t="n">
        <v>346</v>
      </c>
      <c r="L13" s="11" t="n">
        <v>215</v>
      </c>
      <c r="M13" s="11" t="n">
        <v>73</v>
      </c>
      <c r="N13" s="11" t="n">
        <v>2945.39</v>
      </c>
      <c r="O13" s="11" t="n">
        <v>4144</v>
      </c>
      <c r="P13" s="11">
        <f>SUM(Table24[[#This Row],[Asset Savings - Charging]]+Table24[[#This Row],[Automation Savings - Charging]])</f>
        <v/>
      </c>
      <c r="Q13" s="11" t="n">
        <v>43363</v>
      </c>
      <c r="R13" s="12">
        <f>P13/Q13</f>
        <v/>
      </c>
      <c r="S13" s="14">
        <f>P13+H13</f>
        <v/>
      </c>
      <c r="T13" s="14">
        <f>I13+Q13</f>
        <v/>
      </c>
      <c r="U13" s="15">
        <f>S13/T13</f>
        <v/>
      </c>
    </row>
    <row r="14">
      <c r="A14" s="9" t="inlineStr">
        <is>
          <t>Dec</t>
        </is>
      </c>
      <c r="B14" s="10" t="n">
        <v>0.156</v>
      </c>
      <c r="C14" s="11" t="n">
        <v>15</v>
      </c>
      <c r="D14" s="11" t="n">
        <v>10</v>
      </c>
      <c r="E14" s="11" t="n">
        <v>3</v>
      </c>
      <c r="F14" s="11" t="n">
        <v>364.55</v>
      </c>
      <c r="G14" s="11" t="n">
        <v>6</v>
      </c>
      <c r="H14" s="11">
        <f>SUM(Table24[[#This Row],[Asset Savings - Billing]:[Automation Savings - Billing]])</f>
        <v/>
      </c>
      <c r="I14" s="11" t="n">
        <v>9590.5</v>
      </c>
      <c r="J14" s="12">
        <f>H14/I14</f>
        <v/>
      </c>
      <c r="K14" s="11" t="n">
        <v>395</v>
      </c>
      <c r="L14" s="11" t="n">
        <v>186</v>
      </c>
      <c r="M14" s="11" t="n">
        <v>85</v>
      </c>
      <c r="N14" s="11" t="n">
        <v>3131.6</v>
      </c>
      <c r="O14" s="11" t="n">
        <v>2816</v>
      </c>
      <c r="P14" s="11" t="n">
        <v>7590</v>
      </c>
      <c r="Q14" s="11" t="n">
        <v>35712</v>
      </c>
      <c r="R14" s="12">
        <f>P14/Q14</f>
        <v/>
      </c>
      <c r="S14" s="14">
        <f>P14+H14</f>
        <v/>
      </c>
      <c r="T14" s="14">
        <f>I14+Q14</f>
        <v/>
      </c>
      <c r="U14" s="15">
        <f>S14/T14</f>
        <v/>
      </c>
    </row>
    <row r="15">
      <c r="A15" s="16" t="inlineStr">
        <is>
          <t>YTD</t>
        </is>
      </c>
      <c r="B15" s="85" t="n">
        <v>0.156</v>
      </c>
      <c r="C15" s="17">
        <f>SUM(C3:C14)</f>
        <v/>
      </c>
      <c r="D15" s="17">
        <f>SUM(D3:D14)</f>
        <v/>
      </c>
      <c r="E15" s="17">
        <f>E14</f>
        <v/>
      </c>
      <c r="F15" s="50">
        <f>SUM(F3:F14)</f>
        <v/>
      </c>
      <c r="G15" s="50">
        <f>SUM(G3:G14)</f>
        <v/>
      </c>
      <c r="H15" s="21">
        <f>SUM(H3:H14)</f>
        <v/>
      </c>
      <c r="I15" s="21">
        <f>SUM(I3:I14)</f>
        <v/>
      </c>
      <c r="J15" s="22">
        <f>H15/I15</f>
        <v/>
      </c>
      <c r="K15" s="17">
        <f>SUM(K3:K14)</f>
        <v/>
      </c>
      <c r="L15" s="17">
        <f>SUM(L3:L14)</f>
        <v/>
      </c>
      <c r="M15" s="17">
        <f>M14</f>
        <v/>
      </c>
      <c r="N15" s="17">
        <f>SUM(N3:N14)</f>
        <v/>
      </c>
      <c r="O15" s="17">
        <f>SUM(O3:O14)</f>
        <v/>
      </c>
      <c r="P15" s="21">
        <f>SUM(P3:P14)</f>
        <v/>
      </c>
      <c r="Q15" s="17">
        <f>SUM(Q3:Q14)</f>
        <v/>
      </c>
      <c r="R15" s="23">
        <f>P15/Q15</f>
        <v/>
      </c>
      <c r="S15" s="48">
        <f>P15+H15</f>
        <v/>
      </c>
      <c r="T15" s="18">
        <f>I15+Q15</f>
        <v/>
      </c>
      <c r="U15" s="49">
        <f>S15/T15</f>
        <v/>
      </c>
    </row>
  </sheetData>
  <mergeCells count="3">
    <mergeCell ref="K1:R1"/>
    <mergeCell ref="C1:J1"/>
    <mergeCell ref="S1:U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16"/>
  <sheetViews>
    <sheetView zoomScale="80" zoomScaleNormal="80" workbookViewId="0">
      <pane xSplit="1" ySplit="2" topLeftCell="H4" activePane="bottomRight" state="frozen"/>
      <selection pane="topRight" activeCell="B1" sqref="B1"/>
      <selection pane="bottomLeft" activeCell="A3" sqref="A3"/>
      <selection pane="bottomRight" activeCell="A1" sqref="A1:U15"/>
    </sheetView>
  </sheetViews>
  <sheetFormatPr baseColWidth="8" defaultRowHeight="14.5"/>
  <cols>
    <col width="7.08984375" customWidth="1" min="1" max="1"/>
    <col width="9.81640625" customWidth="1" style="1" min="2" max="2"/>
    <col width="12.90625" customWidth="1" style="1" min="3" max="3"/>
    <col width="14.7265625" customWidth="1" style="1" min="4" max="4"/>
    <col width="10.453125" customWidth="1" style="1" min="5" max="5"/>
    <col width="12" customWidth="1" style="1" min="6" max="6"/>
    <col width="11.453125" customWidth="1" style="1" min="7" max="7"/>
    <col width="12.1796875" customWidth="1" style="1" min="8" max="8"/>
    <col width="13.90625" customWidth="1" style="1" min="9" max="9"/>
    <col width="10.6328125" customWidth="1" style="1" min="10" max="10"/>
    <col width="16" customWidth="1" style="1" min="11" max="12"/>
    <col width="11.6328125" customWidth="1" style="1" min="13" max="13"/>
    <col width="13.6328125" customWidth="1" style="1" min="14" max="14"/>
    <col width="12.7265625" customWidth="1" style="1" min="15" max="15"/>
    <col width="13.1796875" customWidth="1" style="1" min="16" max="16"/>
    <col width="13.7265625" customWidth="1" style="1" min="17" max="17"/>
    <col width="11.1796875" customWidth="1" style="1" min="18" max="18"/>
    <col width="15.36328125" customWidth="1" style="1" min="19" max="19"/>
    <col width="17.7265625" customWidth="1" style="1" min="20" max="20"/>
    <col width="17.08984375" customWidth="1" style="1" min="21" max="21"/>
  </cols>
  <sheetData>
    <row r="1">
      <c r="A1" s="4" t="n"/>
      <c r="B1" s="5" t="n"/>
      <c r="C1" s="133" t="inlineStr">
        <is>
          <t>Billing</t>
        </is>
      </c>
      <c r="D1" s="134" t="n"/>
      <c r="E1" s="134" t="n"/>
      <c r="F1" s="134" t="n"/>
      <c r="G1" s="134" t="n"/>
      <c r="H1" s="134" t="n"/>
      <c r="I1" s="134" t="n"/>
      <c r="J1" s="135" t="n"/>
      <c r="K1" s="136" t="inlineStr">
        <is>
          <t>Charging</t>
        </is>
      </c>
      <c r="L1" s="134" t="n"/>
      <c r="M1" s="134" t="n"/>
      <c r="N1" s="134" t="n"/>
      <c r="O1" s="134" t="n"/>
      <c r="P1" s="134" t="n"/>
      <c r="Q1" s="134" t="n"/>
      <c r="R1" s="135" t="n"/>
      <c r="S1" s="113" t="inlineStr">
        <is>
          <t>Overall</t>
        </is>
      </c>
    </row>
    <row r="2" ht="58" customFormat="1" customHeight="1" s="2">
      <c r="A2" s="6" t="inlineStr">
        <is>
          <t>Month</t>
        </is>
      </c>
      <c r="B2" s="7" t="inlineStr">
        <is>
          <t>Monetization KPI</t>
        </is>
      </c>
      <c r="C2" s="33" t="inlineStr">
        <is>
          <t>Total Number of Assets Download - Billing</t>
        </is>
      </c>
      <c r="D2" s="33" t="inlineStr">
        <is>
          <t>Total Number of Assets Reused with Savings - Billing</t>
        </is>
      </c>
      <c r="E2" s="33" t="inlineStr">
        <is>
          <t>Pending Feedback - Billing</t>
        </is>
      </c>
      <c r="F2" s="33" t="inlineStr">
        <is>
          <t>Asset Savings - Billing</t>
        </is>
      </c>
      <c r="G2" s="33" t="inlineStr">
        <is>
          <t>Automation Savings - Billing</t>
        </is>
      </c>
      <c r="H2" s="33" t="inlineStr">
        <is>
          <t>Total Savings - Billing</t>
        </is>
      </c>
      <c r="I2" s="33" t="inlineStr">
        <is>
          <t>Billability Hours - Billing</t>
        </is>
      </c>
      <c r="J2" s="33" t="inlineStr">
        <is>
          <t>Billing Savings %</t>
        </is>
      </c>
      <c r="K2" s="32" t="inlineStr">
        <is>
          <t>Total Number of Assets Download - Charging</t>
        </is>
      </c>
      <c r="L2" s="32" t="inlineStr">
        <is>
          <t>Total Number of Assets Reused with Savings - Charging</t>
        </is>
      </c>
      <c r="M2" s="32" t="inlineStr">
        <is>
          <t>Pending Feedback - Charging</t>
        </is>
      </c>
      <c r="N2" s="32" t="inlineStr">
        <is>
          <t>Asset Savings - Charging</t>
        </is>
      </c>
      <c r="O2" s="32" t="inlineStr">
        <is>
          <t>Automation Savings - Charging</t>
        </is>
      </c>
      <c r="P2" s="32" t="inlineStr">
        <is>
          <t>Total Savings - Charging</t>
        </is>
      </c>
      <c r="Q2" s="32" t="inlineStr">
        <is>
          <t>Billability Hours - Charging</t>
        </is>
      </c>
      <c r="R2" s="32" t="inlineStr">
        <is>
          <t>Charging Savings</t>
        </is>
      </c>
      <c r="S2" s="7" t="inlineStr">
        <is>
          <t>Total Savings - Monetization</t>
        </is>
      </c>
      <c r="T2" s="7" t="inlineStr">
        <is>
          <t>Billability Hours - Monetization</t>
        </is>
      </c>
      <c r="U2" s="8" t="inlineStr">
        <is>
          <t>Monetization Savings %</t>
        </is>
      </c>
    </row>
    <row r="3">
      <c r="A3" s="9" t="inlineStr">
        <is>
          <t>Jan</t>
        </is>
      </c>
      <c r="B3" s="10" t="n">
        <v>0.16</v>
      </c>
      <c r="C3" s="11" t="n">
        <v>20</v>
      </c>
      <c r="D3" s="11" t="n">
        <v>4</v>
      </c>
      <c r="E3" s="11" t="n">
        <v>8</v>
      </c>
      <c r="F3" s="11" t="n">
        <v>143</v>
      </c>
      <c r="G3" s="11" t="n">
        <v>48.1</v>
      </c>
      <c r="H3" s="11">
        <f>Table2[[#This Row],[Asset Savings - Billing]]+Table2[[#This Row],[Automation Savings - Billing]]</f>
        <v/>
      </c>
      <c r="I3" s="11" t="n">
        <v>6651.85</v>
      </c>
      <c r="J3" s="12">
        <f>H3/I3</f>
        <v/>
      </c>
      <c r="K3" s="11" t="n">
        <v>285</v>
      </c>
      <c r="L3" s="11" t="n">
        <v>141</v>
      </c>
      <c r="M3" s="11" t="n">
        <v>49</v>
      </c>
      <c r="N3" s="11" t="n">
        <v>1551.24</v>
      </c>
      <c r="O3" s="11" t="n">
        <v>2684</v>
      </c>
      <c r="P3" s="11">
        <f>Table2[[#This Row],[Asset Savings - Charging]]+Table2[[#This Row],[Automation Savings - Charging]]</f>
        <v/>
      </c>
      <c r="Q3" s="11" t="n">
        <v>44613</v>
      </c>
      <c r="R3" s="13">
        <f>Table2[[#This Row],[Total Savings - Charging]]/Table2[[#This Row],[Billability Hours - Charging]]</f>
        <v/>
      </c>
      <c r="S3" s="14">
        <f>Table2[[#This Row],[Total Savings - Billing]]+Table2[[#This Row],[Total Savings - Charging]]</f>
        <v/>
      </c>
      <c r="T3" s="14">
        <f>Table2[[#This Row],[Billability Hours - Billing]]+Table2[[#This Row],[Billability Hours - Charging]]</f>
        <v/>
      </c>
      <c r="U3" s="15">
        <f>S3/T3</f>
        <v/>
      </c>
    </row>
    <row r="4">
      <c r="A4" s="9" t="inlineStr">
        <is>
          <t>Feb</t>
        </is>
      </c>
      <c r="B4" s="10" t="n">
        <v>0.16</v>
      </c>
      <c r="C4" s="11" t="n">
        <v>20</v>
      </c>
      <c r="D4" s="11" t="n">
        <v>5</v>
      </c>
      <c r="E4" s="11" t="n">
        <v>8</v>
      </c>
      <c r="F4" s="11" t="n">
        <v>112</v>
      </c>
      <c r="G4" s="11" t="n">
        <v>24.5</v>
      </c>
      <c r="H4" s="11">
        <f>Table2[[#This Row],[Asset Savings - Billing]]+Table2[[#This Row],[Automation Savings - Billing]]</f>
        <v/>
      </c>
      <c r="I4" s="11" t="n">
        <v>6033</v>
      </c>
      <c r="J4" s="12">
        <f>H4/I4</f>
        <v/>
      </c>
      <c r="K4" s="11" t="n">
        <v>213</v>
      </c>
      <c r="L4" s="11" t="n">
        <v>239</v>
      </c>
      <c r="M4" s="11" t="n">
        <v>44</v>
      </c>
      <c r="N4" s="11" t="n">
        <v>2465</v>
      </c>
      <c r="O4" s="11" t="n">
        <v>3455</v>
      </c>
      <c r="P4" s="11">
        <f>Table2[[#This Row],[Asset Savings - Charging]]+Table2[[#This Row],[Automation Savings - Charging]]</f>
        <v/>
      </c>
      <c r="Q4" s="11" t="n">
        <v>41659</v>
      </c>
      <c r="R4" s="13">
        <f>Table2[[#This Row],[Total Savings - Charging]]/Table2[[#This Row],[Billability Hours - Charging]]</f>
        <v/>
      </c>
      <c r="S4" s="14">
        <f>Table2[[#This Row],[Total Savings - Billing]]+Table2[[#This Row],[Total Savings - Charging]]</f>
        <v/>
      </c>
      <c r="T4" s="14">
        <f>Table2[[#This Row],[Billability Hours - Billing]]+Table2[[#This Row],[Billability Hours - Charging]]</f>
        <v/>
      </c>
      <c r="U4" s="15">
        <f>S4/T4</f>
        <v/>
      </c>
    </row>
    <row r="5">
      <c r="A5" s="9" t="inlineStr">
        <is>
          <t>Mar</t>
        </is>
      </c>
      <c r="B5" s="10" t="n">
        <v>0.16</v>
      </c>
      <c r="C5" s="11" t="n">
        <v>9</v>
      </c>
      <c r="D5" s="11" t="n">
        <v>4</v>
      </c>
      <c r="E5" s="11" t="n">
        <v>7</v>
      </c>
      <c r="F5" s="11" t="n">
        <v>148</v>
      </c>
      <c r="G5" s="11" t="n">
        <v>0.8</v>
      </c>
      <c r="H5" s="11">
        <f>Table2[[#This Row],[Asset Savings - Billing]]+Table2[[#This Row],[Automation Savings - Billing]]</f>
        <v/>
      </c>
      <c r="I5" s="11" t="n">
        <v>6090</v>
      </c>
      <c r="J5" s="12">
        <f>H5/I5</f>
        <v/>
      </c>
      <c r="K5" s="11" t="n">
        <v>223</v>
      </c>
      <c r="L5" s="11" t="n">
        <v>139</v>
      </c>
      <c r="M5" s="11" t="n">
        <v>62</v>
      </c>
      <c r="N5" s="11" t="n">
        <v>969.48</v>
      </c>
      <c r="O5" s="11" t="n">
        <v>2723.24</v>
      </c>
      <c r="P5" s="11">
        <f>Table2[[#This Row],[Asset Savings - Charging]]+Table2[[#This Row],[Automation Savings - Charging]]</f>
        <v/>
      </c>
      <c r="Q5" s="11" t="n">
        <v>40996</v>
      </c>
      <c r="R5" s="13">
        <f>Table2[[#This Row],[Total Savings - Charging]]/Table2[[#This Row],[Billability Hours - Charging]]</f>
        <v/>
      </c>
      <c r="S5" s="14">
        <f>Table2[[#This Row],[Total Savings - Billing]]+Table2[[#This Row],[Total Savings - Charging]]</f>
        <v/>
      </c>
      <c r="T5" s="14">
        <f>Table2[[#This Row],[Billability Hours - Billing]]+Table2[[#This Row],[Billability Hours - Charging]]</f>
        <v/>
      </c>
      <c r="U5" s="15">
        <f>S5/T5</f>
        <v/>
      </c>
    </row>
    <row r="6">
      <c r="A6" s="9" t="inlineStr">
        <is>
          <t>April</t>
        </is>
      </c>
      <c r="B6" s="10" t="n">
        <v>0.16</v>
      </c>
      <c r="C6" s="11" t="n">
        <v>20</v>
      </c>
      <c r="D6" s="11" t="n">
        <v>10</v>
      </c>
      <c r="E6" s="11" t="n">
        <v>6</v>
      </c>
      <c r="F6" s="11" t="n">
        <v>684.42</v>
      </c>
      <c r="G6" s="11" t="n">
        <v>0.45</v>
      </c>
      <c r="H6" s="11">
        <f>Table2[[#This Row],[Asset Savings - Billing]]+Table2[[#This Row],[Automation Savings - Billing]]</f>
        <v/>
      </c>
      <c r="I6" s="11" t="n">
        <v>6217</v>
      </c>
      <c r="J6" s="12">
        <f>H6/I6</f>
        <v/>
      </c>
      <c r="K6" s="11" t="n">
        <v>258</v>
      </c>
      <c r="L6" s="11" t="n">
        <v>233</v>
      </c>
      <c r="M6" s="11" t="n">
        <v>139</v>
      </c>
      <c r="N6" s="11" t="n">
        <v>2183.55</v>
      </c>
      <c r="O6" s="11" t="n">
        <v>4112</v>
      </c>
      <c r="P6" s="11">
        <f>Table2[[#This Row],[Asset Savings - Charging]]+Table2[[#This Row],[Automation Savings - Charging]]</f>
        <v/>
      </c>
      <c r="Q6" s="11" t="n">
        <v>40248</v>
      </c>
      <c r="R6" s="13">
        <f>Table2[[#This Row],[Total Savings - Charging]]/Table2[[#This Row],[Billability Hours - Charging]]</f>
        <v/>
      </c>
      <c r="S6" s="14">
        <f>Table2[[#This Row],[Total Savings - Billing]]+Table2[[#This Row],[Total Savings - Charging]]</f>
        <v/>
      </c>
      <c r="T6" s="14">
        <f>Table2[[#This Row],[Billability Hours - Billing]]+Table2[[#This Row],[Billability Hours - Charging]]</f>
        <v/>
      </c>
      <c r="U6" s="15">
        <f>S6/T6</f>
        <v/>
      </c>
    </row>
    <row r="7">
      <c r="A7" s="9" t="inlineStr">
        <is>
          <t>May</t>
        </is>
      </c>
      <c r="B7" s="10" t="n">
        <v>0.16</v>
      </c>
      <c r="C7" s="11" t="n">
        <v>29</v>
      </c>
      <c r="D7" s="11" t="n">
        <v>10</v>
      </c>
      <c r="E7" s="11" t="n">
        <v>3</v>
      </c>
      <c r="F7" s="11" t="n">
        <v>254.9</v>
      </c>
      <c r="G7" s="11" t="n">
        <v>19.65</v>
      </c>
      <c r="H7" s="11">
        <f>Table2[[#This Row],[Asset Savings - Billing]]+Table2[[#This Row],[Automation Savings - Billing]]</f>
        <v/>
      </c>
      <c r="I7" s="11" t="n">
        <v>6908</v>
      </c>
      <c r="J7" s="12">
        <f>H7/I7</f>
        <v/>
      </c>
      <c r="K7" s="11" t="n">
        <v>355</v>
      </c>
      <c r="L7" s="11" t="n">
        <v>221</v>
      </c>
      <c r="M7" s="11" t="n">
        <v>67</v>
      </c>
      <c r="N7" s="11" t="n">
        <v>1785.6</v>
      </c>
      <c r="O7" s="11" t="n">
        <v>4764.8</v>
      </c>
      <c r="P7" s="11">
        <f>Table2[[#This Row],[Asset Savings - Charging]]+Table2[[#This Row],[Automation Savings - Charging]]</f>
        <v/>
      </c>
      <c r="Q7" s="11" t="n">
        <v>43121</v>
      </c>
      <c r="R7" s="13">
        <f>Table2[[#This Row],[Total Savings - Charging]]/Table2[[#This Row],[Billability Hours - Charging]]</f>
        <v/>
      </c>
      <c r="S7" s="14">
        <f>Table2[[#This Row],[Total Savings - Billing]]+Table2[[#This Row],[Total Savings - Charging]]</f>
        <v/>
      </c>
      <c r="T7" s="14">
        <f>Table2[[#This Row],[Billability Hours - Billing]]+Table2[[#This Row],[Billability Hours - Charging]]</f>
        <v/>
      </c>
      <c r="U7" s="15">
        <f>S7/T7</f>
        <v/>
      </c>
    </row>
    <row r="8">
      <c r="A8" s="9" t="inlineStr">
        <is>
          <t>Jun</t>
        </is>
      </c>
      <c r="B8" s="10" t="n">
        <v>0.16</v>
      </c>
      <c r="C8" s="11" t="n">
        <v>22</v>
      </c>
      <c r="D8" s="11" t="n">
        <v>7</v>
      </c>
      <c r="E8" s="11" t="n">
        <v>13</v>
      </c>
      <c r="F8" s="11" t="n">
        <v>131.2</v>
      </c>
      <c r="G8" s="11" t="n">
        <v>5.45</v>
      </c>
      <c r="H8" s="11">
        <f>Table2[[#This Row],[Asset Savings - Billing]]+Table2[[#This Row],[Automation Savings - Billing]]</f>
        <v/>
      </c>
      <c r="I8" s="11" t="n">
        <v>7306</v>
      </c>
      <c r="J8" s="12">
        <f>H8/I8</f>
        <v/>
      </c>
      <c r="K8" s="11" t="n">
        <v>277</v>
      </c>
      <c r="L8" s="11" t="n">
        <v>134</v>
      </c>
      <c r="M8" s="11" t="n">
        <v>58</v>
      </c>
      <c r="N8" s="11" t="n">
        <v>1613.72</v>
      </c>
      <c r="O8" s="11" t="n">
        <v>3734.9</v>
      </c>
      <c r="P8" s="11">
        <f>Table2[[#This Row],[Asset Savings - Charging]]+Table2[[#This Row],[Automation Savings - Charging]]</f>
        <v/>
      </c>
      <c r="Q8" s="11" t="n">
        <v>40965</v>
      </c>
      <c r="R8" s="13">
        <f>Table2[[#This Row],[Total Savings - Charging]]/Table2[[#This Row],[Billability Hours - Charging]]</f>
        <v/>
      </c>
      <c r="S8" s="14">
        <f>Table2[[#This Row],[Total Savings - Billing]]+Table2[[#This Row],[Total Savings - Charging]]</f>
        <v/>
      </c>
      <c r="T8" s="14">
        <f>Table2[[#This Row],[Billability Hours - Billing]]+Table2[[#This Row],[Billability Hours - Charging]]</f>
        <v/>
      </c>
      <c r="U8" s="15">
        <f>S8/T8</f>
        <v/>
      </c>
    </row>
    <row r="9">
      <c r="A9" s="9" t="inlineStr">
        <is>
          <t>Jul</t>
        </is>
      </c>
      <c r="B9" s="10" t="n">
        <v>0.16</v>
      </c>
      <c r="C9" s="11" t="n">
        <v>34</v>
      </c>
      <c r="D9" s="11" t="n">
        <v>6</v>
      </c>
      <c r="E9" s="11" t="n">
        <v>3</v>
      </c>
      <c r="F9" s="11" t="n">
        <v>502.2</v>
      </c>
      <c r="G9" s="11" t="n">
        <v>22.1</v>
      </c>
      <c r="H9" s="11">
        <f>Table2[[#This Row],[Asset Savings - Billing]]+Table2[[#This Row],[Automation Savings - Billing]]</f>
        <v/>
      </c>
      <c r="I9" s="11" t="n">
        <v>10082</v>
      </c>
      <c r="J9" s="12">
        <f>H9/I9</f>
        <v/>
      </c>
      <c r="K9" s="11" t="n">
        <v>309</v>
      </c>
      <c r="L9" s="11" t="n">
        <v>210</v>
      </c>
      <c r="M9" s="11" t="n">
        <v>73</v>
      </c>
      <c r="N9" s="11" t="n">
        <v>1797.23</v>
      </c>
      <c r="O9" s="11" t="n">
        <v>3669.84</v>
      </c>
      <c r="P9" s="11">
        <f>Table2[[#This Row],[Asset Savings - Charging]]+Table2[[#This Row],[Automation Savings - Charging]]</f>
        <v/>
      </c>
      <c r="Q9" s="11" t="n">
        <v>43825</v>
      </c>
      <c r="R9" s="13">
        <f>Table2[[#This Row],[Total Savings - Charging]]/Table2[[#This Row],[Billability Hours - Charging]]</f>
        <v/>
      </c>
      <c r="S9" s="14">
        <f>Table2[[#This Row],[Total Savings - Billing]]+Table2[[#This Row],[Total Savings - Charging]]</f>
        <v/>
      </c>
      <c r="T9" s="14">
        <f>Table2[[#This Row],[Billability Hours - Billing]]+Table2[[#This Row],[Billability Hours - Charging]]</f>
        <v/>
      </c>
      <c r="U9" s="15">
        <f>S9/T9</f>
        <v/>
      </c>
    </row>
    <row r="10">
      <c r="A10" s="43" t="inlineStr">
        <is>
          <t>Aug</t>
        </is>
      </c>
      <c r="B10" s="10" t="n">
        <v>0.16</v>
      </c>
      <c r="C10" s="44" t="n">
        <v>17</v>
      </c>
      <c r="D10" s="44" t="n">
        <v>10</v>
      </c>
      <c r="E10" s="44" t="n">
        <v>28</v>
      </c>
      <c r="F10" s="44" t="n">
        <v>26.3</v>
      </c>
      <c r="G10" s="44" t="n">
        <v>326.49</v>
      </c>
      <c r="H10" s="11">
        <f>Table2[[#This Row],[Asset Savings - Billing]]+Table2[[#This Row],[Automation Savings - Billing]]</f>
        <v/>
      </c>
      <c r="I10" s="44" t="n">
        <v>8841</v>
      </c>
      <c r="J10" s="12">
        <f>H10/I10</f>
        <v/>
      </c>
      <c r="K10" s="44" t="n">
        <v>229</v>
      </c>
      <c r="L10" s="44" t="n">
        <v>148</v>
      </c>
      <c r="M10" s="44" t="n">
        <v>92</v>
      </c>
      <c r="N10" s="44" t="n">
        <v>1535.1</v>
      </c>
      <c r="O10" s="44" t="n">
        <v>2105.07</v>
      </c>
      <c r="P10" s="11">
        <f>Table2[[#This Row],[Asset Savings - Charging]]+Table2[[#This Row],[Automation Savings - Charging]]</f>
        <v/>
      </c>
      <c r="Q10" s="44" t="n">
        <v>39175</v>
      </c>
      <c r="R10" s="13">
        <f>Table2[[#This Row],[Total Savings - Charging]]/Table2[[#This Row],[Billability Hours - Charging]]</f>
        <v/>
      </c>
      <c r="S10" s="14">
        <f>Table2[[#This Row],[Total Savings - Billing]]+Table2[[#This Row],[Total Savings - Charging]]</f>
        <v/>
      </c>
      <c r="T10" s="14">
        <f>Table2[[#This Row],[Billability Hours - Billing]]+Table2[[#This Row],[Billability Hours - Charging]]</f>
        <v/>
      </c>
      <c r="U10" s="45">
        <f>S10/T10</f>
        <v/>
      </c>
    </row>
    <row r="11">
      <c r="A11" s="9" t="inlineStr">
        <is>
          <t>Sep</t>
        </is>
      </c>
      <c r="B11" s="10" t="n">
        <v>0.16</v>
      </c>
      <c r="C11" s="11" t="n">
        <v>8</v>
      </c>
      <c r="D11" s="11" t="n">
        <v>5</v>
      </c>
      <c r="E11" s="11" t="n">
        <v>31</v>
      </c>
      <c r="F11" s="11" t="n">
        <v>379.5</v>
      </c>
      <c r="G11" s="11" t="n">
        <v>14.4</v>
      </c>
      <c r="H11" s="11">
        <f>Table2[[#This Row],[Asset Savings - Billing]]+Table2[[#This Row],[Automation Savings - Billing]]</f>
        <v/>
      </c>
      <c r="I11" s="11" t="n">
        <v>9505</v>
      </c>
      <c r="J11" s="12">
        <f>H11/I11</f>
        <v/>
      </c>
      <c r="K11" s="11" t="n">
        <v>153</v>
      </c>
      <c r="L11" s="11" t="n">
        <v>95</v>
      </c>
      <c r="M11" s="11" t="n">
        <v>140</v>
      </c>
      <c r="N11" s="11" t="n">
        <v>1564.68</v>
      </c>
      <c r="O11" s="11" t="n">
        <v>699.29</v>
      </c>
      <c r="P11" s="11">
        <f>Table2[[#This Row],[Asset Savings - Charging]]+Table2[[#This Row],[Automation Savings - Charging]]</f>
        <v/>
      </c>
      <c r="Q11" s="11" t="n">
        <v>40576</v>
      </c>
      <c r="R11" s="13">
        <f>Table2[[#This Row],[Total Savings - Charging]]/Table2[[#This Row],[Billability Hours - Charging]]</f>
        <v/>
      </c>
      <c r="S11" s="14">
        <f>Table2[[#This Row],[Total Savings - Billing]]+Table2[[#This Row],[Total Savings - Charging]]</f>
        <v/>
      </c>
      <c r="T11" s="14">
        <f>Table2[[#This Row],[Billability Hours - Billing]]+Table2[[#This Row],[Billability Hours - Charging]]</f>
        <v/>
      </c>
      <c r="U11" s="15">
        <f>S11/T11</f>
        <v/>
      </c>
    </row>
    <row r="12">
      <c r="A12" s="9" t="inlineStr">
        <is>
          <t>Oct</t>
        </is>
      </c>
      <c r="B12" s="10" t="n">
        <v>0.16</v>
      </c>
      <c r="C12" s="11" t="n">
        <v>39</v>
      </c>
      <c r="D12" s="11" t="n">
        <v>6</v>
      </c>
      <c r="E12" s="11" t="n">
        <v>46</v>
      </c>
      <c r="F12" s="11" t="n">
        <v>212</v>
      </c>
      <c r="G12" s="11" t="n">
        <v>0.5</v>
      </c>
      <c r="H12" s="11">
        <f>Table2[[#This Row],[Asset Savings - Billing]]+Table2[[#This Row],[Automation Savings - Billing]]</f>
        <v/>
      </c>
      <c r="I12" s="11" t="n">
        <v>8976</v>
      </c>
      <c r="J12" s="12">
        <f>H12/I12</f>
        <v/>
      </c>
      <c r="K12" s="11" t="n">
        <v>99</v>
      </c>
      <c r="L12" s="11" t="n">
        <v>52</v>
      </c>
      <c r="M12" s="11" t="n">
        <v>187</v>
      </c>
      <c r="N12" s="11" t="n">
        <v>784.4</v>
      </c>
      <c r="O12" s="11" t="n">
        <v>1058.77</v>
      </c>
      <c r="P12" s="14" t="n">
        <v>1843.17</v>
      </c>
      <c r="Q12" s="11" t="n">
        <v>39390</v>
      </c>
      <c r="R12" s="13">
        <f>Table2[[#This Row],[Total Savings - Charging]]/Table2[[#This Row],[Billability Hours - Charging]]</f>
        <v/>
      </c>
      <c r="S12" s="14">
        <f>Table2[[#This Row],[Total Savings - Billing]]+Table2[[#This Row],[Total Savings - Charging]]</f>
        <v/>
      </c>
      <c r="T12" s="14">
        <f>Table2[[#This Row],[Billability Hours - Billing]]+Table2[[#This Row],[Billability Hours - Charging]]</f>
        <v/>
      </c>
      <c r="U12" s="15">
        <f>S12/T12</f>
        <v/>
      </c>
    </row>
    <row r="13">
      <c r="A13" s="9" t="inlineStr">
        <is>
          <t>Nov</t>
        </is>
      </c>
      <c r="B13" s="10" t="n">
        <v>0.16</v>
      </c>
      <c r="C13" s="11" t="n">
        <v>27</v>
      </c>
      <c r="D13" s="11" t="n">
        <v>19</v>
      </c>
      <c r="E13" s="11" t="n">
        <v>49</v>
      </c>
      <c r="F13" s="11" t="n">
        <v>289</v>
      </c>
      <c r="G13" s="11" t="n">
        <v>1064</v>
      </c>
      <c r="H13" s="11">
        <f>Table2[[#This Row],[Asset Savings - Billing]]+Table2[[#This Row],[Automation Savings - Billing]]</f>
        <v/>
      </c>
      <c r="I13" s="11" t="n">
        <v>6541</v>
      </c>
      <c r="J13" s="12">
        <f>H13/I13</f>
        <v/>
      </c>
      <c r="K13" s="11" t="n">
        <v>96</v>
      </c>
      <c r="L13" s="11" t="n">
        <v>64</v>
      </c>
      <c r="M13" s="11" t="n">
        <v>193</v>
      </c>
      <c r="N13" s="11" t="n">
        <v>1375</v>
      </c>
      <c r="O13" s="11" t="n">
        <v>704</v>
      </c>
      <c r="P13" s="11" t="n">
        <v>2080</v>
      </c>
      <c r="Q13" s="11" t="n">
        <v>41298</v>
      </c>
      <c r="R13" s="13">
        <f>Table2[[#This Row],[Total Savings - Charging]]/Table2[[#This Row],[Billability Hours - Charging]]</f>
        <v/>
      </c>
      <c r="S13" s="14">
        <f>Table2[[#This Row],[Total Savings - Billing]]+Table2[[#This Row],[Total Savings - Charging]]</f>
        <v/>
      </c>
      <c r="T13" s="14">
        <f>Table2[[#This Row],[Billability Hours - Billing]]+Table2[[#This Row],[Billability Hours - Charging]]</f>
        <v/>
      </c>
      <c r="U13" s="15">
        <f>S13/T13</f>
        <v/>
      </c>
    </row>
    <row r="14">
      <c r="A14" s="9" t="inlineStr">
        <is>
          <t>Dec</t>
        </is>
      </c>
      <c r="B14" s="10" t="n">
        <v>0.16</v>
      </c>
      <c r="C14" s="11" t="n">
        <v>31</v>
      </c>
      <c r="D14" s="11" t="n">
        <v>22</v>
      </c>
      <c r="E14" s="11" t="n">
        <v>52</v>
      </c>
      <c r="F14" s="11" t="n">
        <v>1901</v>
      </c>
      <c r="G14" s="11" t="n">
        <v>1144</v>
      </c>
      <c r="H14" s="11">
        <f>Table2[[#This Row],[Asset Savings - Billing]]+Table2[[#This Row],[Automation Savings - Billing]]</f>
        <v/>
      </c>
      <c r="I14" s="11" t="n">
        <v>8606</v>
      </c>
      <c r="J14" s="12">
        <f>H14/I14</f>
        <v/>
      </c>
      <c r="K14" s="11" t="n">
        <v>193</v>
      </c>
      <c r="L14" s="11" t="n">
        <v>153</v>
      </c>
      <c r="M14" s="11" t="n">
        <v>221</v>
      </c>
      <c r="N14" s="11" t="n">
        <v>2602</v>
      </c>
      <c r="O14" s="11" t="n">
        <v>1882</v>
      </c>
      <c r="P14" s="11" t="n">
        <v>4486</v>
      </c>
      <c r="Q14" s="11" t="n">
        <v>29642</v>
      </c>
      <c r="R14" s="13">
        <f>Table2[[#This Row],[Total Savings - Charging]]/Table2[[#This Row],[Billability Hours - Charging]]</f>
        <v/>
      </c>
      <c r="S14" s="14">
        <f>Table2[[#This Row],[Total Savings - Billing]]+Table2[[#This Row],[Total Savings - Charging]]</f>
        <v/>
      </c>
      <c r="T14" s="14">
        <f>Table2[[#This Row],[Billability Hours - Billing]]+Table2[[#This Row],[Billability Hours - Charging]]</f>
        <v/>
      </c>
      <c r="U14" s="15">
        <f>S14/T14</f>
        <v/>
      </c>
    </row>
    <row r="15">
      <c r="A15" s="16" t="inlineStr">
        <is>
          <t>YTD</t>
        </is>
      </c>
      <c r="B15" s="10" t="n">
        <v>0.16</v>
      </c>
      <c r="C15" s="17">
        <f>SUM(C3:C14)</f>
        <v/>
      </c>
      <c r="D15" s="17">
        <f>SUM(D3:D14)</f>
        <v/>
      </c>
      <c r="E15" s="17">
        <f>E3</f>
        <v/>
      </c>
      <c r="F15" s="50">
        <f>SUM(F3:F14)</f>
        <v/>
      </c>
      <c r="G15" s="50">
        <f>SUM(G3:G14)</f>
        <v/>
      </c>
      <c r="H15" s="21">
        <f>SUM(H3:H14)</f>
        <v/>
      </c>
      <c r="I15" s="21">
        <f>SUM(I3:I14)</f>
        <v/>
      </c>
      <c r="J15" s="22">
        <f>H15/I15</f>
        <v/>
      </c>
      <c r="K15" s="17">
        <f>SUM(K3:K14)</f>
        <v/>
      </c>
      <c r="L15" s="17">
        <f>SUM(L3:L14)</f>
        <v/>
      </c>
      <c r="M15" s="17">
        <f>M8</f>
        <v/>
      </c>
      <c r="N15" s="17">
        <f>SUM(N3:N14)</f>
        <v/>
      </c>
      <c r="O15" s="17">
        <f>SUM(O3:O14)</f>
        <v/>
      </c>
      <c r="P15" s="21">
        <f>SUM(P3:P14)</f>
        <v/>
      </c>
      <c r="Q15" s="17">
        <f>SUM(Q3:Q14)</f>
        <v/>
      </c>
      <c r="R15" s="23">
        <f>P15/Q15</f>
        <v/>
      </c>
      <c r="S15" s="48">
        <f>P15+H15</f>
        <v/>
      </c>
      <c r="T15" s="18">
        <f>I15+Q15</f>
        <v/>
      </c>
      <c r="U15" s="49">
        <f>S15/T15</f>
        <v/>
      </c>
    </row>
    <row r="16">
      <c r="B16" s="46" t="n"/>
      <c r="J16" s="3" t="n"/>
      <c r="R16" s="3" t="n"/>
      <c r="U16" s="3" t="n"/>
    </row>
  </sheetData>
  <mergeCells count="3">
    <mergeCell ref="K1:R1"/>
    <mergeCell ref="C1:J1"/>
    <mergeCell ref="S1:U1"/>
  </mergeCell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5"/>
  <sheetViews>
    <sheetView tabSelected="1" zoomScale="60" zoomScaleNormal="60" workbookViewId="0">
      <selection activeCell="A1" sqref="A1"/>
    </sheetView>
  </sheetViews>
  <sheetFormatPr baseColWidth="8" defaultColWidth="16.54296875" defaultRowHeight="14.5"/>
  <sheetData>
    <row r="1">
      <c r="A1" s="4" t="n"/>
      <c r="B1" s="5" t="n"/>
      <c r="C1" s="133" t="inlineStr">
        <is>
          <t>Billing</t>
        </is>
      </c>
      <c r="D1" s="134" t="n"/>
      <c r="E1" s="134" t="n"/>
      <c r="F1" s="134" t="n"/>
      <c r="G1" s="134" t="n"/>
      <c r="H1" s="134" t="n"/>
      <c r="I1" s="134" t="n"/>
      <c r="J1" s="135" t="n"/>
      <c r="K1" s="106" t="inlineStr">
        <is>
          <t>Charging</t>
        </is>
      </c>
      <c r="L1" s="134" t="n"/>
      <c r="M1" s="134" t="n"/>
      <c r="N1" s="134" t="n"/>
      <c r="O1" s="134" t="n"/>
      <c r="P1" s="134" t="n"/>
      <c r="Q1" s="134" t="n"/>
      <c r="R1" s="134" t="n"/>
      <c r="S1" s="109" t="inlineStr">
        <is>
          <t>SDC CS&amp;DFE</t>
        </is>
      </c>
      <c r="T1" s="134" t="n"/>
      <c r="U1" s="134" t="n"/>
      <c r="V1" s="134" t="n"/>
      <c r="W1" s="134" t="n"/>
      <c r="X1" s="134" t="n"/>
      <c r="Y1" s="134" t="n"/>
      <c r="Z1" s="135" t="n"/>
      <c r="AA1" s="137" t="inlineStr">
        <is>
          <t>SDC Billing&amp;MW</t>
        </is>
      </c>
      <c r="AB1" s="134" t="n"/>
      <c r="AC1" s="134" t="n"/>
      <c r="AD1" s="134" t="n"/>
      <c r="AE1" s="134" t="n"/>
      <c r="AF1" s="134" t="n"/>
      <c r="AG1" s="134" t="n"/>
      <c r="AH1" s="135" t="n"/>
      <c r="AI1" s="104" t="inlineStr">
        <is>
          <t>Overall</t>
        </is>
      </c>
    </row>
    <row r="2" ht="58" customHeight="1">
      <c r="A2" s="6" t="inlineStr">
        <is>
          <t>Month</t>
        </is>
      </c>
      <c r="B2" s="7" t="inlineStr">
        <is>
          <t>Monetization KPI</t>
        </is>
      </c>
      <c r="C2" s="33" t="inlineStr">
        <is>
          <t>Total Number of Assets Download - Billing</t>
        </is>
      </c>
      <c r="D2" s="33" t="inlineStr">
        <is>
          <t>Total Number of Assets Reused with Savings - Billing</t>
        </is>
      </c>
      <c r="E2" s="33" t="inlineStr">
        <is>
          <t>Pending Feedback - Billing</t>
        </is>
      </c>
      <c r="F2" s="33" t="inlineStr">
        <is>
          <t>Asset Savings - Billing</t>
        </is>
      </c>
      <c r="G2" s="33" t="inlineStr">
        <is>
          <t>Automation Savings - Billing</t>
        </is>
      </c>
      <c r="H2" s="33" t="inlineStr">
        <is>
          <t>Total Savings - Billing</t>
        </is>
      </c>
      <c r="I2" s="33" t="inlineStr">
        <is>
          <t>Billability Hours - Billing</t>
        </is>
      </c>
      <c r="J2" s="33" t="inlineStr">
        <is>
          <t>Billing Savings %</t>
        </is>
      </c>
      <c r="K2" s="91" t="inlineStr">
        <is>
          <t>Total Number of Assets Download - Charging</t>
        </is>
      </c>
      <c r="L2" s="91" t="inlineStr">
        <is>
          <t>Total Number of Assets Reused with Savings - Charging</t>
        </is>
      </c>
      <c r="M2" s="91" t="inlineStr">
        <is>
          <t>Pending Feedback - Charging</t>
        </is>
      </c>
      <c r="N2" s="91" t="inlineStr">
        <is>
          <t>Asset Savings - Charging</t>
        </is>
      </c>
      <c r="O2" s="91" t="inlineStr">
        <is>
          <t>Automation Savings - Charging</t>
        </is>
      </c>
      <c r="P2" s="91" t="inlineStr">
        <is>
          <t>Total Savings - Charging</t>
        </is>
      </c>
      <c r="Q2" s="91" t="inlineStr">
        <is>
          <t>Billability Hours - Charging</t>
        </is>
      </c>
      <c r="R2" s="91" t="inlineStr">
        <is>
          <t>Charging Savings %</t>
        </is>
      </c>
      <c r="S2" s="92" t="inlineStr">
        <is>
          <t>Total Number of Assets Download - SDC CS&amp;DFE</t>
        </is>
      </c>
      <c r="T2" s="92" t="inlineStr">
        <is>
          <t>Total Number of Assets Reused with Savings - SDC CS&amp;DFE</t>
        </is>
      </c>
      <c r="U2" s="92" t="inlineStr">
        <is>
          <t>Pending Feedback - SDC CS&amp;DFE</t>
        </is>
      </c>
      <c r="V2" s="92" t="inlineStr">
        <is>
          <t>Asset Savings - SDC CS&amp;DFE</t>
        </is>
      </c>
      <c r="W2" s="92" t="inlineStr">
        <is>
          <t>Automation Savings - SDC CS&amp;DFE</t>
        </is>
      </c>
      <c r="X2" s="92" t="inlineStr">
        <is>
          <t>Total Savings - SDC CS&amp;DFE</t>
        </is>
      </c>
      <c r="Y2" s="92" t="inlineStr">
        <is>
          <t>Billability Hours - SDC CS&amp;DFE</t>
        </is>
      </c>
      <c r="Z2" s="92" t="inlineStr">
        <is>
          <t>SDC CS&amp;DFE Savings %</t>
        </is>
      </c>
      <c r="AA2" s="93" t="inlineStr">
        <is>
          <t>Total Number of Assets Download - SDC Billing&amp;MW</t>
        </is>
      </c>
      <c r="AB2" s="93" t="inlineStr">
        <is>
          <t>Total Number of Assets Reused with Savings - SDC Billing&amp;MW</t>
        </is>
      </c>
      <c r="AC2" s="93" t="inlineStr">
        <is>
          <t>Pending Feedback - SDC Billing&amp;MW</t>
        </is>
      </c>
      <c r="AD2" s="93" t="inlineStr">
        <is>
          <t>Asset Savings - SDC Billing&amp;MW</t>
        </is>
      </c>
      <c r="AE2" s="93" t="inlineStr">
        <is>
          <t>Automation Savings - SDC Billing&amp;MW</t>
        </is>
      </c>
      <c r="AF2" s="93" t="inlineStr">
        <is>
          <t>Total Savings - SDC Billing&amp;MW</t>
        </is>
      </c>
      <c r="AG2" s="93" t="inlineStr">
        <is>
          <t>Billability Hours - SDC Billing&amp;MW</t>
        </is>
      </c>
      <c r="AH2" s="93" t="inlineStr">
        <is>
          <t>SDC Billing&amp;MW Savings %</t>
        </is>
      </c>
      <c r="AI2" s="94" t="inlineStr">
        <is>
          <t>Total Savings - Monetization</t>
        </is>
      </c>
      <c r="AJ2" s="94" t="inlineStr">
        <is>
          <t>Billability Hours - Monetization</t>
        </is>
      </c>
      <c r="AK2" s="95" t="inlineStr">
        <is>
          <t>Monetization Savings %</t>
        </is>
      </c>
    </row>
    <row r="3">
      <c r="A3" s="9" t="inlineStr">
        <is>
          <t>Jan</t>
        </is>
      </c>
      <c r="B3" s="10" t="n">
        <v>0.16</v>
      </c>
      <c r="C3" s="11" t="n">
        <v>4</v>
      </c>
      <c r="D3" s="11" t="n">
        <v>2</v>
      </c>
      <c r="E3" s="11" t="n"/>
      <c r="F3" s="11" t="n">
        <v>0</v>
      </c>
      <c r="G3" s="11" t="n">
        <v>58.38</v>
      </c>
      <c r="H3" s="11">
        <f>Table25[[#This Row],[Asset Savings - Billing]]+Table25[[#This Row],[Automation Savings - Billing]]</f>
        <v/>
      </c>
      <c r="I3" s="11" t="n">
        <v>9640.75</v>
      </c>
      <c r="J3" s="12">
        <f>H3/I3</f>
        <v/>
      </c>
      <c r="K3" s="11" t="n">
        <v>69</v>
      </c>
      <c r="L3" s="11" t="n">
        <v>67</v>
      </c>
      <c r="M3" s="11" t="n"/>
      <c r="N3" s="11" t="n">
        <v>3080.7</v>
      </c>
      <c r="O3" s="11" t="n">
        <v>1080.35</v>
      </c>
      <c r="P3" s="11">
        <f>Table25[[#This Row],[Asset Savings - Charging]]+Table25[[#This Row],[Automation Savings - Charging]]</f>
        <v/>
      </c>
      <c r="Q3" s="11" t="n">
        <v>36869</v>
      </c>
      <c r="R3" s="12">
        <f>Table25[[#This Row],[Total Savings - Charging]]/Table25[[#This Row],[Billability Hours - Charging]]</f>
        <v/>
      </c>
      <c r="S3" s="11" t="n">
        <v>3</v>
      </c>
      <c r="T3" s="11" t="n">
        <v>4</v>
      </c>
      <c r="U3" s="11" t="n"/>
      <c r="V3" s="11" t="n">
        <v>0</v>
      </c>
      <c r="W3" s="11" t="n">
        <v>1476</v>
      </c>
      <c r="X3" s="11">
        <f>Table25[[#This Row],[Asset Savings - SDC CS&amp;DFE]]+Table25[[#This Row],[Automation Savings - SDC CS&amp;DFE]]</f>
        <v/>
      </c>
      <c r="Y3" s="11" t="n">
        <v>18045</v>
      </c>
      <c r="Z3" s="12">
        <f>Table25[[#This Row],[Total Savings - SDC CS&amp;DFE]]/Table25[[#This Row],[Billability Hours - SDC CS&amp;DFE]]</f>
        <v/>
      </c>
      <c r="AA3" s="11" t="n">
        <v>0</v>
      </c>
      <c r="AB3" s="11" t="n">
        <v>0</v>
      </c>
      <c r="AC3" s="11" t="n"/>
      <c r="AD3" s="11" t="n">
        <v>0</v>
      </c>
      <c r="AE3" s="11" t="n">
        <v>0</v>
      </c>
      <c r="AF3" s="11">
        <f>Table25[[#This Row],[Asset Savings - SDC Billing&amp;MW]]+Table25[[#This Row],[Automation Savings - SDC Billing&amp;MW]]</f>
        <v/>
      </c>
      <c r="AG3" s="11" t="n">
        <v>8010.64</v>
      </c>
      <c r="AH3" s="13">
        <f>Table25[[#This Row],[Total Savings - SDC Billing&amp;MW]]/Table25[[#This Row],[Billability Hours - SDC Billing&amp;MW]]</f>
        <v/>
      </c>
      <c r="AI3" s="14">
        <f>Table25[[#This Row],[Total Savings - Billing]]+Table25[[#This Row],[Total Savings - Charging]]+Table25[[#This Row],[Total Savings - SDC CS&amp;DFE]]+Table25[[#This Row],[Total Savings - SDC Billing&amp;MW]]</f>
        <v/>
      </c>
      <c r="AJ3" s="14">
        <f>Table25[[#This Row],[Billability Hours - Billing]]+Table25[[#This Row],[Billability Hours - Charging]]+Table25[[#This Row],[Billability Hours - SDC CS&amp;DFE]]+Table25[[#This Row],[Billability Hours - SDC Billing&amp;MW]]</f>
        <v/>
      </c>
      <c r="AK3" s="15">
        <f>AI3/AJ3</f>
        <v/>
      </c>
    </row>
    <row r="4">
      <c r="A4" s="9" t="inlineStr">
        <is>
          <t>Feb</t>
        </is>
      </c>
      <c r="B4" s="10" t="n">
        <v>0.16</v>
      </c>
      <c r="C4" s="11" t="n">
        <v>17</v>
      </c>
      <c r="D4" s="11" t="n">
        <v>17</v>
      </c>
      <c r="E4" s="11" t="n"/>
      <c r="F4" s="11" t="n">
        <v>307.5</v>
      </c>
      <c r="G4" s="11" t="n">
        <v>1071.6</v>
      </c>
      <c r="H4" s="11">
        <f>Table25[[#This Row],[Asset Savings - Billing]]+Table25[[#This Row],[Automation Savings - Billing]]</f>
        <v/>
      </c>
      <c r="I4" s="11" t="n">
        <v>10714</v>
      </c>
      <c r="J4" s="12">
        <f>H4/I4</f>
        <v/>
      </c>
      <c r="K4" s="11" t="n"/>
      <c r="L4" s="11" t="n">
        <v>46</v>
      </c>
      <c r="M4" s="11" t="n"/>
      <c r="N4" s="11" t="n">
        <v>343.21</v>
      </c>
      <c r="O4" s="11" t="n">
        <v>689.5</v>
      </c>
      <c r="P4" s="11">
        <f>Table25[[#This Row],[Asset Savings - Charging]]+Table25[[#This Row],[Automation Savings - Charging]]</f>
        <v/>
      </c>
      <c r="Q4" s="11" t="n">
        <v>39906</v>
      </c>
      <c r="R4" s="12">
        <f>Table25[[#This Row],[Total Savings - Charging]]/Table25[[#This Row],[Billability Hours - Charging]]</f>
        <v/>
      </c>
      <c r="S4" s="11" t="n"/>
      <c r="T4" s="11" t="n">
        <v>4</v>
      </c>
      <c r="U4" s="11" t="n"/>
      <c r="V4" s="11" t="n">
        <v>2044</v>
      </c>
      <c r="W4" s="11" t="n">
        <v>300</v>
      </c>
      <c r="X4" s="11">
        <f>Table25[[#This Row],[Asset Savings - SDC CS&amp;DFE]]+Table25[[#This Row],[Automation Savings - SDC CS&amp;DFE]]</f>
        <v/>
      </c>
      <c r="Y4" s="11" t="n">
        <v>19394</v>
      </c>
      <c r="Z4" s="12">
        <f>Table25[[#This Row],[Total Savings - SDC CS&amp;DFE]]/Table25[[#This Row],[Billability Hours - SDC CS&amp;DFE]]</f>
        <v/>
      </c>
      <c r="AA4" s="11" t="n"/>
      <c r="AB4" s="11" t="n">
        <v>4</v>
      </c>
      <c r="AC4" s="11" t="n"/>
      <c r="AD4" s="11" t="n"/>
      <c r="AE4" s="11" t="n">
        <v>195.4</v>
      </c>
      <c r="AF4" s="11">
        <f>Table25[[#This Row],[Asset Savings - SDC Billing&amp;MW]]+Table25[[#This Row],[Automation Savings - SDC Billing&amp;MW]]</f>
        <v/>
      </c>
      <c r="AG4" s="11" t="n">
        <v>9214.200000000001</v>
      </c>
      <c r="AH4" s="13">
        <f>Table25[[#This Row],[Total Savings - SDC Billing&amp;MW]]/Table25[[#This Row],[Billability Hours - SDC Billing&amp;MW]]</f>
        <v/>
      </c>
      <c r="AI4" s="14">
        <f>Table25[[#This Row],[Total Savings - Billing]]+Table25[[#This Row],[Total Savings - Charging]]+Table25[[#This Row],[Total Savings - SDC CS&amp;DFE]]+Table25[[#This Row],[Total Savings - SDC Billing&amp;MW]]</f>
        <v/>
      </c>
      <c r="AJ4" s="14">
        <f>Table25[[#This Row],[Billability Hours - Billing]]+Table25[[#This Row],[Billability Hours - Charging]]+Table25[[#This Row],[Billability Hours - SDC CS&amp;DFE]]+Table25[[#This Row],[Billability Hours - SDC Billing&amp;MW]]</f>
        <v/>
      </c>
      <c r="AK4" s="15">
        <f>AI4/AJ4</f>
        <v/>
      </c>
    </row>
    <row r="5">
      <c r="A5" s="9" t="inlineStr">
        <is>
          <t>Mar</t>
        </is>
      </c>
      <c r="B5" s="10" t="n">
        <v>0.16</v>
      </c>
      <c r="C5" s="11" t="n"/>
      <c r="D5" s="11" t="n">
        <v>15</v>
      </c>
      <c r="E5" s="11" t="n"/>
      <c r="F5" s="11" t="n">
        <v>183</v>
      </c>
      <c r="G5" s="11" t="n">
        <v>1038</v>
      </c>
      <c r="H5" s="11">
        <f>Table25[[#This Row],[Asset Savings - Billing]]+Table25[[#This Row],[Automation Savings - Billing]]</f>
        <v/>
      </c>
      <c r="I5" s="11" t="n">
        <v>11854</v>
      </c>
      <c r="J5" s="12">
        <f>H5/I5</f>
        <v/>
      </c>
      <c r="K5" s="12" t="n"/>
      <c r="L5" s="11" t="n">
        <v>103</v>
      </c>
      <c r="M5" s="12" t="n"/>
      <c r="N5" s="11" t="n">
        <v>1476.81</v>
      </c>
      <c r="O5" s="11" t="n">
        <v>1610.45</v>
      </c>
      <c r="P5" s="11">
        <f>Table25[[#This Row],[Asset Savings - Charging]]+Table25[[#This Row],[Automation Savings - Charging]]</f>
        <v/>
      </c>
      <c r="Q5" s="11" t="n">
        <v>44428</v>
      </c>
      <c r="R5" s="12">
        <f>Table25[[#This Row],[Total Savings - Charging]]/Table25[[#This Row],[Billability Hours - Charging]]</f>
        <v/>
      </c>
      <c r="S5" s="11" t="n"/>
      <c r="T5" s="11" t="n">
        <v>4</v>
      </c>
      <c r="U5" s="11" t="n"/>
      <c r="V5" s="11" t="n"/>
      <c r="W5" s="11" t="n">
        <v>5366</v>
      </c>
      <c r="X5" s="11">
        <f>Table25[[#This Row],[Asset Savings - SDC CS&amp;DFE]]+Table25[[#This Row],[Automation Savings - SDC CS&amp;DFE]]</f>
        <v/>
      </c>
      <c r="Y5" s="11" t="n">
        <v>21191</v>
      </c>
      <c r="Z5" s="12">
        <f>Table25[[#This Row],[Total Savings - SDC CS&amp;DFE]]/Table25[[#This Row],[Billability Hours - SDC CS&amp;DFE]]</f>
        <v/>
      </c>
      <c r="AA5" s="11" t="n"/>
      <c r="AB5" s="11" t="n">
        <v>8</v>
      </c>
      <c r="AC5" s="11" t="n"/>
      <c r="AD5" s="11" t="n">
        <v>3161</v>
      </c>
      <c r="AE5" s="11" t="n">
        <v>165</v>
      </c>
      <c r="AF5" s="11">
        <f>Table25[[#This Row],[Asset Savings - SDC Billing&amp;MW]]+Table25[[#This Row],[Automation Savings - SDC Billing&amp;MW]]</f>
        <v/>
      </c>
      <c r="AG5" s="11" t="n">
        <v>9261.700000000001</v>
      </c>
      <c r="AH5" s="13">
        <f>Table25[[#This Row],[Total Savings - SDC Billing&amp;MW]]/Table25[[#This Row],[Billability Hours - SDC Billing&amp;MW]]</f>
        <v/>
      </c>
      <c r="AI5" s="14">
        <f>Table25[[#This Row],[Total Savings - Billing]]+Table25[[#This Row],[Total Savings - Charging]]+Table25[[#This Row],[Total Savings - SDC CS&amp;DFE]]+Table25[[#This Row],[Total Savings - SDC Billing&amp;MW]]</f>
        <v/>
      </c>
      <c r="AJ5" s="14">
        <f>Table25[[#This Row],[Billability Hours - Billing]]+Table25[[#This Row],[Billability Hours - Charging]]+Table25[[#This Row],[Billability Hours - SDC CS&amp;DFE]]+Table25[[#This Row],[Billability Hours - SDC Billing&amp;MW]]</f>
        <v/>
      </c>
      <c r="AK5" s="15">
        <f>AI5/AJ5</f>
        <v/>
      </c>
    </row>
    <row r="6">
      <c r="A6" s="9" t="inlineStr">
        <is>
          <t>April</t>
        </is>
      </c>
      <c r="B6" s="10" t="n">
        <v>0.16</v>
      </c>
      <c r="C6" s="11" t="n">
        <v>43</v>
      </c>
      <c r="D6" s="11" t="n">
        <v>17</v>
      </c>
      <c r="E6" s="11" t="n">
        <v>20</v>
      </c>
      <c r="F6" s="11" t="n">
        <v>819</v>
      </c>
      <c r="G6" s="11" t="n">
        <v>2981.05</v>
      </c>
      <c r="H6" s="11">
        <f>Table25[[#This Row],[Asset Savings - Billing]]+Table25[[#This Row],[Automation Savings - Billing]]</f>
        <v/>
      </c>
      <c r="I6" s="11" t="n">
        <v>8837.75</v>
      </c>
      <c r="J6" s="12">
        <f>H6/I6</f>
        <v/>
      </c>
      <c r="K6" s="12" t="n">
        <v>154</v>
      </c>
      <c r="L6" s="12" t="n">
        <v>109</v>
      </c>
      <c r="M6" s="12" t="n">
        <v>73</v>
      </c>
      <c r="N6" s="11" t="n">
        <v>1000.83</v>
      </c>
      <c r="O6" s="11" t="n">
        <v>1322.16</v>
      </c>
      <c r="P6" s="11">
        <f>Table25[[#This Row],[Asset Savings - Charging]]+Table25[[#This Row],[Automation Savings - Charging]]</f>
        <v/>
      </c>
      <c r="Q6" s="11" t="n">
        <v>34778.39</v>
      </c>
      <c r="R6" s="12">
        <f>Table25[[#This Row],[Total Savings - Charging]]/Table25[[#This Row],[Billability Hours - Charging]]</f>
        <v/>
      </c>
      <c r="S6" s="11" t="n">
        <v>6</v>
      </c>
      <c r="T6" s="11" t="n">
        <v>3</v>
      </c>
      <c r="U6" s="11" t="n">
        <v>12</v>
      </c>
      <c r="V6" s="11" t="n">
        <v>816</v>
      </c>
      <c r="W6" s="11" t="n">
        <v>984</v>
      </c>
      <c r="X6" s="11">
        <f>Table25[[#This Row],[Asset Savings - SDC CS&amp;DFE]]+Table25[[#This Row],[Automation Savings - SDC CS&amp;DFE]]</f>
        <v/>
      </c>
      <c r="Y6" s="11" t="n">
        <v>18041.4</v>
      </c>
      <c r="Z6" s="12">
        <f>Table25[[#This Row],[Total Savings - SDC CS&amp;DFE]]/Table25[[#This Row],[Billability Hours - SDC CS&amp;DFE]]</f>
        <v/>
      </c>
      <c r="AA6" s="11" t="n">
        <v>2</v>
      </c>
      <c r="AB6" s="11" t="n">
        <v>2</v>
      </c>
      <c r="AC6" s="11" t="n">
        <v>2</v>
      </c>
      <c r="AD6" s="11" t="n">
        <v>0</v>
      </c>
      <c r="AE6" s="11" t="n">
        <v>90.40000000000001</v>
      </c>
      <c r="AF6" s="11">
        <f>Table25[[#This Row],[Asset Savings - SDC Billing&amp;MW]]+Table25[[#This Row],[Automation Savings - SDC Billing&amp;MW]]</f>
        <v/>
      </c>
      <c r="AG6" s="11" t="n">
        <v>8151.65</v>
      </c>
      <c r="AH6" s="13">
        <f>Table25[[#This Row],[Total Savings - SDC Billing&amp;MW]]/Table25[[#This Row],[Billability Hours - SDC Billing&amp;MW]]</f>
        <v/>
      </c>
      <c r="AI6" s="14">
        <f>Table25[[#This Row],[Total Savings - Billing]]+Table25[[#This Row],[Total Savings - Charging]]+Table25[[#This Row],[Total Savings - SDC CS&amp;DFE]]+Table25[[#This Row],[Total Savings - SDC Billing&amp;MW]]</f>
        <v/>
      </c>
      <c r="AJ6" s="14">
        <f>Table25[[#This Row],[Billability Hours - Billing]]+Table25[[#This Row],[Billability Hours - Charging]]+Table25[[#This Row],[Billability Hours - SDC CS&amp;DFE]]+Table25[[#This Row],[Billability Hours - SDC Billing&amp;MW]]</f>
        <v/>
      </c>
      <c r="AK6" s="15">
        <f>AI6/AJ6</f>
        <v/>
      </c>
    </row>
    <row r="7">
      <c r="A7" s="9" t="inlineStr">
        <is>
          <t>May</t>
        </is>
      </c>
      <c r="B7" s="10" t="n">
        <v>0.16</v>
      </c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1" t="n"/>
      <c r="O7" s="11" t="n"/>
      <c r="P7" s="11">
        <f>Table25[[#This Row],[Asset Savings - Charging]]+Table25[[#This Row],[Automation Savings - Charging]]</f>
        <v/>
      </c>
      <c r="Q7" s="11" t="n"/>
      <c r="R7" s="12" t="n"/>
      <c r="S7" s="11" t="n"/>
      <c r="T7" s="11" t="n"/>
      <c r="U7" s="11" t="n"/>
      <c r="V7" s="11" t="n"/>
      <c r="W7" s="11" t="n"/>
      <c r="X7" s="11">
        <f>Table25[[#This Row],[Asset Savings - SDC CS&amp;DFE]]+Table25[[#This Row],[Automation Savings - SDC CS&amp;DFE]]</f>
        <v/>
      </c>
      <c r="Y7" s="11" t="n"/>
      <c r="Z7" s="12" t="n"/>
      <c r="AA7" s="11" t="n"/>
      <c r="AB7" s="11" t="n"/>
      <c r="AC7" s="11" t="n"/>
      <c r="AD7" s="11" t="n"/>
      <c r="AE7" s="11" t="n"/>
      <c r="AF7" s="11" t="n"/>
      <c r="AG7" s="11" t="n"/>
      <c r="AH7" s="13" t="n"/>
      <c r="AI7" s="14">
        <f>Table25[[#This Row],[Total Savings - Billing]]+Table25[[#This Row],[Total Savings - Charging]]+Table25[[#This Row],[Total Savings - SDC CS&amp;DFE]]+Table25[[#This Row],[Total Savings - SDC Billing&amp;MW]]</f>
        <v/>
      </c>
      <c r="AJ7" s="14">
        <f>Table25[[#This Row],[Billability Hours - Billing]]+Table25[[#This Row],[Billability Hours - Charging]]+Table25[[#This Row],[Billability Hours - SDC CS&amp;DFE]]+Table25[[#This Row],[Billability Hours - SDC Billing&amp;MW]]</f>
        <v/>
      </c>
      <c r="AK7" s="15">
        <f>AI7/AJ7</f>
        <v/>
      </c>
    </row>
    <row r="8">
      <c r="A8" s="9" t="inlineStr">
        <is>
          <t>Jun</t>
        </is>
      </c>
      <c r="B8" s="10" t="n">
        <v>0.16</v>
      </c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1" t="n"/>
      <c r="O8" s="11" t="n"/>
      <c r="P8" s="11">
        <f>Table25[[#This Row],[Asset Savings - Charging]]+Table25[[#This Row],[Automation Savings - Charging]]</f>
        <v/>
      </c>
      <c r="Q8" s="11" t="n"/>
      <c r="R8" s="12" t="n"/>
      <c r="S8" s="11" t="n"/>
      <c r="T8" s="11" t="n"/>
      <c r="U8" s="11" t="n"/>
      <c r="V8" s="11" t="n"/>
      <c r="W8" s="11" t="n"/>
      <c r="X8" s="11">
        <f>Table25[[#This Row],[Asset Savings - SDC CS&amp;DFE]]+Table25[[#This Row],[Automation Savings - SDC CS&amp;DFE]]</f>
        <v/>
      </c>
      <c r="Y8" s="11" t="n"/>
      <c r="Z8" s="12" t="n"/>
      <c r="AA8" s="11" t="n"/>
      <c r="AB8" s="11" t="n"/>
      <c r="AC8" s="11" t="n"/>
      <c r="AD8" s="11" t="n"/>
      <c r="AE8" s="11" t="n"/>
      <c r="AF8" s="11" t="n"/>
      <c r="AG8" s="11" t="n"/>
      <c r="AH8" s="13" t="n"/>
      <c r="AI8" s="14">
        <f>Table25[[#This Row],[Total Savings - Billing]]+Table25[[#This Row],[Total Savings - Charging]]+Table25[[#This Row],[Total Savings - SDC CS&amp;DFE]]+Table25[[#This Row],[Total Savings - SDC Billing&amp;MW]]</f>
        <v/>
      </c>
      <c r="AJ8" s="14">
        <f>Table25[[#This Row],[Billability Hours - Billing]]+Table25[[#This Row],[Billability Hours - Charging]]+Table25[[#This Row],[Billability Hours - SDC CS&amp;DFE]]+Table25[[#This Row],[Billability Hours - SDC Billing&amp;MW]]</f>
        <v/>
      </c>
      <c r="AK8" s="15">
        <f>AI8/AJ8</f>
        <v/>
      </c>
    </row>
    <row r="9">
      <c r="A9" s="9" t="inlineStr">
        <is>
          <t>Jul</t>
        </is>
      </c>
      <c r="B9" s="10" t="n">
        <v>0.16</v>
      </c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1" t="n"/>
      <c r="O9" s="11" t="n"/>
      <c r="P9" s="11">
        <f>Table25[[#This Row],[Asset Savings - Charging]]+Table25[[#This Row],[Automation Savings - Charging]]</f>
        <v/>
      </c>
      <c r="Q9" s="11" t="n"/>
      <c r="R9" s="12" t="n"/>
      <c r="S9" s="11" t="n"/>
      <c r="T9" s="11" t="n"/>
      <c r="U9" s="11" t="n"/>
      <c r="V9" s="11" t="n"/>
      <c r="W9" s="11" t="n"/>
      <c r="X9" s="11">
        <f>Table25[[#This Row],[Asset Savings - SDC CS&amp;DFE]]+Table25[[#This Row],[Automation Savings - SDC CS&amp;DFE]]</f>
        <v/>
      </c>
      <c r="Y9" s="11" t="n"/>
      <c r="Z9" s="12" t="n"/>
      <c r="AA9" s="11" t="n"/>
      <c r="AB9" s="11" t="n"/>
      <c r="AC9" s="11" t="n"/>
      <c r="AD9" s="11" t="n"/>
      <c r="AE9" s="11" t="n"/>
      <c r="AF9" s="11" t="n"/>
      <c r="AG9" s="11" t="n"/>
      <c r="AH9" s="13" t="n"/>
      <c r="AI9" s="14">
        <f>Table25[[#This Row],[Total Savings - Billing]]+Table25[[#This Row],[Total Savings - Charging]]+Table25[[#This Row],[Total Savings - SDC CS&amp;DFE]]+Table25[[#This Row],[Total Savings - SDC Billing&amp;MW]]</f>
        <v/>
      </c>
      <c r="AJ9" s="14">
        <f>Table25[[#This Row],[Billability Hours - Billing]]+Table25[[#This Row],[Billability Hours - Charging]]+Table25[[#This Row],[Billability Hours - SDC CS&amp;DFE]]+Table25[[#This Row],[Billability Hours - SDC Billing&amp;MW]]</f>
        <v/>
      </c>
      <c r="AK9" s="15">
        <f>AI9/AJ9</f>
        <v/>
      </c>
    </row>
    <row r="10">
      <c r="A10" s="43" t="inlineStr">
        <is>
          <t>Aug</t>
        </is>
      </c>
      <c r="B10" s="10" t="n">
        <v>0.16</v>
      </c>
      <c r="C10" s="44" t="n"/>
      <c r="D10" s="44" t="n"/>
      <c r="E10" s="44" t="n"/>
      <c r="F10" s="44" t="n"/>
      <c r="G10" s="44" t="n"/>
      <c r="H10" s="11" t="n"/>
      <c r="I10" s="44" t="n"/>
      <c r="J10" s="12" t="n"/>
      <c r="K10" s="12" t="n"/>
      <c r="L10" s="12" t="n"/>
      <c r="M10" s="12" t="n"/>
      <c r="N10" s="11" t="n"/>
      <c r="O10" s="11" t="n"/>
      <c r="P10" s="11">
        <f>Table25[[#This Row],[Asset Savings - Charging]]+Table25[[#This Row],[Automation Savings - Charging]]</f>
        <v/>
      </c>
      <c r="Q10" s="11" t="n"/>
      <c r="R10" s="12" t="n"/>
      <c r="S10" s="11" t="n"/>
      <c r="T10" s="11" t="n"/>
      <c r="U10" s="11" t="n"/>
      <c r="V10" s="11" t="n"/>
      <c r="W10" s="11" t="n"/>
      <c r="X10" s="11">
        <f>Table25[[#This Row],[Asset Savings - SDC CS&amp;DFE]]+Table25[[#This Row],[Automation Savings - SDC CS&amp;DFE]]</f>
        <v/>
      </c>
      <c r="Y10" s="11" t="n"/>
      <c r="Z10" s="12" t="n"/>
      <c r="AA10" s="44" t="n"/>
      <c r="AB10" s="44" t="n"/>
      <c r="AC10" s="44" t="n"/>
      <c r="AD10" s="44" t="n"/>
      <c r="AE10" s="44" t="n"/>
      <c r="AF10" s="11" t="n"/>
      <c r="AG10" s="44" t="n"/>
      <c r="AH10" s="13" t="n"/>
      <c r="AI10" s="14">
        <f>Table25[[#This Row],[Total Savings - Billing]]+Table25[[#This Row],[Total Savings - Charging]]+Table25[[#This Row],[Total Savings - SDC CS&amp;DFE]]+Table25[[#This Row],[Total Savings - SDC Billing&amp;MW]]</f>
        <v/>
      </c>
      <c r="AJ10" s="14">
        <f>Table25[[#This Row],[Billability Hours - Billing]]+Table25[[#This Row],[Billability Hours - Charging]]+Table25[[#This Row],[Billability Hours - SDC CS&amp;DFE]]+Table25[[#This Row],[Billability Hours - SDC Billing&amp;MW]]</f>
        <v/>
      </c>
      <c r="AK10" s="15">
        <f>AI10/AJ10</f>
        <v/>
      </c>
    </row>
    <row r="11">
      <c r="A11" s="9" t="inlineStr">
        <is>
          <t>Sep</t>
        </is>
      </c>
      <c r="B11" s="10" t="n">
        <v>0.16</v>
      </c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1" t="n"/>
      <c r="O11" s="11" t="n"/>
      <c r="P11" s="11">
        <f>Table25[[#This Row],[Asset Savings - Charging]]+Table25[[#This Row],[Automation Savings - Charging]]</f>
        <v/>
      </c>
      <c r="Q11" s="11" t="n"/>
      <c r="R11" s="12" t="n"/>
      <c r="S11" s="11" t="n"/>
      <c r="T11" s="11" t="n"/>
      <c r="U11" s="11" t="n"/>
      <c r="V11" s="11" t="n"/>
      <c r="W11" s="11" t="n"/>
      <c r="X11" s="11">
        <f>Table25[[#This Row],[Asset Savings - SDC CS&amp;DFE]]+Table25[[#This Row],[Automation Savings - SDC CS&amp;DFE]]</f>
        <v/>
      </c>
      <c r="Y11" s="11" t="n"/>
      <c r="Z11" s="12" t="n"/>
      <c r="AA11" s="11" t="n"/>
      <c r="AB11" s="11" t="n"/>
      <c r="AC11" s="11" t="n"/>
      <c r="AD11" s="11" t="n"/>
      <c r="AE11" s="11" t="n"/>
      <c r="AF11" s="11" t="n"/>
      <c r="AG11" s="11" t="n"/>
      <c r="AH11" s="13" t="n"/>
      <c r="AI11" s="14">
        <f>Table25[[#This Row],[Total Savings - Billing]]+Table25[[#This Row],[Total Savings - Charging]]+Table25[[#This Row],[Total Savings - SDC CS&amp;DFE]]+Table25[[#This Row],[Total Savings - SDC Billing&amp;MW]]</f>
        <v/>
      </c>
      <c r="AJ11" s="14">
        <f>Table25[[#This Row],[Billability Hours - Billing]]+Table25[[#This Row],[Billability Hours - Charging]]+Table25[[#This Row],[Billability Hours - SDC CS&amp;DFE]]+Table25[[#This Row],[Billability Hours - SDC Billing&amp;MW]]</f>
        <v/>
      </c>
      <c r="AK11" s="15">
        <f>AI11/AJ11</f>
        <v/>
      </c>
    </row>
    <row r="12">
      <c r="A12" s="9" t="inlineStr">
        <is>
          <t>Oct</t>
        </is>
      </c>
      <c r="B12" s="10" t="n">
        <v>0.16</v>
      </c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1" t="n"/>
      <c r="O12" s="11" t="n"/>
      <c r="P12" s="11">
        <f>Table25[[#This Row],[Asset Savings - Charging]]+Table25[[#This Row],[Automation Savings - Charging]]</f>
        <v/>
      </c>
      <c r="Q12" s="11" t="n"/>
      <c r="R12" s="12" t="n"/>
      <c r="S12" s="11" t="n"/>
      <c r="T12" s="11" t="n"/>
      <c r="U12" s="11" t="n"/>
      <c r="V12" s="11" t="n"/>
      <c r="W12" s="11" t="n"/>
      <c r="X12" s="11">
        <f>Table25[[#This Row],[Asset Savings - SDC CS&amp;DFE]]+Table25[[#This Row],[Automation Savings - SDC CS&amp;DFE]]</f>
        <v/>
      </c>
      <c r="Y12" s="11" t="n"/>
      <c r="Z12" s="12" t="n"/>
      <c r="AA12" s="11" t="n"/>
      <c r="AB12" s="11" t="n"/>
      <c r="AC12" s="11" t="n"/>
      <c r="AD12" s="11" t="n"/>
      <c r="AE12" s="11" t="n"/>
      <c r="AF12" s="14" t="n"/>
      <c r="AG12" s="11" t="n"/>
      <c r="AH12" s="13" t="n"/>
      <c r="AI12" s="14">
        <f>Table25[[#This Row],[Total Savings - Billing]]+Table25[[#This Row],[Total Savings - Charging]]+Table25[[#This Row],[Total Savings - SDC CS&amp;DFE]]+Table25[[#This Row],[Total Savings - SDC Billing&amp;MW]]</f>
        <v/>
      </c>
      <c r="AJ12" s="14">
        <f>Table25[[#This Row],[Billability Hours - Billing]]+Table25[[#This Row],[Billability Hours - Charging]]+Table25[[#This Row],[Billability Hours - SDC CS&amp;DFE]]+Table25[[#This Row],[Billability Hours - SDC Billing&amp;MW]]</f>
        <v/>
      </c>
      <c r="AK12" s="15">
        <f>AI12/AJ12</f>
        <v/>
      </c>
    </row>
    <row r="13">
      <c r="A13" s="9" t="inlineStr">
        <is>
          <t>Nov</t>
        </is>
      </c>
      <c r="B13" s="10" t="n">
        <v>0.16</v>
      </c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1" t="n"/>
      <c r="O13" s="11" t="n"/>
      <c r="P13" s="11">
        <f>Table25[[#This Row],[Asset Savings - Charging]]+Table25[[#This Row],[Automation Savings - Charging]]</f>
        <v/>
      </c>
      <c r="Q13" s="11" t="n"/>
      <c r="R13" s="12" t="n"/>
      <c r="S13" s="11" t="n"/>
      <c r="T13" s="11" t="n"/>
      <c r="U13" s="11" t="n"/>
      <c r="V13" s="11" t="n"/>
      <c r="W13" s="11" t="n"/>
      <c r="X13" s="11">
        <f>Table25[[#This Row],[Asset Savings - SDC CS&amp;DFE]]+Table25[[#This Row],[Automation Savings - SDC CS&amp;DFE]]</f>
        <v/>
      </c>
      <c r="Y13" s="11" t="n"/>
      <c r="Z13" s="12" t="n"/>
      <c r="AA13" s="11" t="n"/>
      <c r="AB13" s="11" t="n"/>
      <c r="AC13" s="11" t="n"/>
      <c r="AD13" s="11" t="n"/>
      <c r="AE13" s="11" t="n"/>
      <c r="AF13" s="11" t="n"/>
      <c r="AG13" s="11" t="n"/>
      <c r="AH13" s="13" t="n"/>
      <c r="AI13" s="14">
        <f>Table25[[#This Row],[Total Savings - Billing]]+Table25[[#This Row],[Total Savings - Charging]]+Table25[[#This Row],[Total Savings - SDC CS&amp;DFE]]+Table25[[#This Row],[Total Savings - SDC Billing&amp;MW]]</f>
        <v/>
      </c>
      <c r="AJ13" s="14">
        <f>Table25[[#This Row],[Billability Hours - Billing]]+Table25[[#This Row],[Billability Hours - Charging]]+Table25[[#This Row],[Billability Hours - SDC CS&amp;DFE]]+Table25[[#This Row],[Billability Hours - SDC Billing&amp;MW]]</f>
        <v/>
      </c>
      <c r="AK13" s="15">
        <f>AI13/AJ13</f>
        <v/>
      </c>
    </row>
    <row r="14">
      <c r="A14" s="9" t="inlineStr">
        <is>
          <t>Dec</t>
        </is>
      </c>
      <c r="B14" s="10" t="n">
        <v>0.16</v>
      </c>
      <c r="C14" s="11" t="n"/>
      <c r="D14" s="11" t="n"/>
      <c r="E14" s="11" t="n"/>
      <c r="F14" s="11" t="n"/>
      <c r="G14" s="11" t="n"/>
      <c r="H14" s="11" t="n"/>
      <c r="I14" s="11" t="n"/>
      <c r="J14" s="12" t="n"/>
      <c r="K14" s="12" t="n"/>
      <c r="L14" s="12" t="n"/>
      <c r="M14" s="12" t="n"/>
      <c r="N14" s="11" t="n"/>
      <c r="O14" s="11" t="n"/>
      <c r="P14" s="11">
        <f>Table25[[#This Row],[Asset Savings - Charging]]+Table25[[#This Row],[Automation Savings - Charging]]</f>
        <v/>
      </c>
      <c r="Q14" s="11" t="n"/>
      <c r="R14" s="12" t="n"/>
      <c r="S14" s="11" t="n"/>
      <c r="T14" s="11" t="n"/>
      <c r="U14" s="11" t="n"/>
      <c r="V14" s="11" t="n"/>
      <c r="W14" s="11" t="n"/>
      <c r="X14" s="11">
        <f>Table25[[#This Row],[Asset Savings - SDC CS&amp;DFE]]+Table25[[#This Row],[Automation Savings - SDC CS&amp;DFE]]</f>
        <v/>
      </c>
      <c r="Y14" s="11" t="n"/>
      <c r="Z14" s="12" t="n"/>
      <c r="AA14" s="11" t="n"/>
      <c r="AB14" s="11" t="n"/>
      <c r="AC14" s="11" t="n"/>
      <c r="AD14" s="11" t="n"/>
      <c r="AE14" s="11" t="n"/>
      <c r="AF14" s="11" t="n"/>
      <c r="AG14" s="11" t="n"/>
      <c r="AH14" s="13" t="n"/>
      <c r="AI14" s="14">
        <f>Table25[[#This Row],[Total Savings - Billing]]+Table25[[#This Row],[Total Savings - Charging]]+Table25[[#This Row],[Total Savings - SDC CS&amp;DFE]]+Table25[[#This Row],[Total Savings - SDC Billing&amp;MW]]</f>
        <v/>
      </c>
      <c r="AJ14" s="14">
        <f>Table25[[#This Row],[Billability Hours - Billing]]+Table25[[#This Row],[Billability Hours - Charging]]+Table25[[#This Row],[Billability Hours - SDC CS&amp;DFE]]+Table25[[#This Row],[Billability Hours - SDC Billing&amp;MW]]</f>
        <v/>
      </c>
      <c r="AK14" s="15">
        <f>AI14/AJ14</f>
        <v/>
      </c>
    </row>
    <row r="15">
      <c r="A15" s="16" t="inlineStr">
        <is>
          <t>YTD</t>
        </is>
      </c>
      <c r="B15" s="10" t="n">
        <v>0.16</v>
      </c>
      <c r="C15" s="17">
        <f>SUM(C3:C14)</f>
        <v/>
      </c>
      <c r="D15" s="17">
        <f>SUM(D3:D14)</f>
        <v/>
      </c>
      <c r="E15" s="17">
        <f>E6</f>
        <v/>
      </c>
      <c r="F15" s="50">
        <f>SUM(F3:F14)</f>
        <v/>
      </c>
      <c r="G15" s="50">
        <f>SUM(G3:G14)</f>
        <v/>
      </c>
      <c r="H15" s="21">
        <f>SUM(H3:H14)</f>
        <v/>
      </c>
      <c r="I15" s="21">
        <f>SUM(I3:I14)</f>
        <v/>
      </c>
      <c r="J15" s="22">
        <f>H15/I15</f>
        <v/>
      </c>
      <c r="K15" s="22">
        <f>SUM(K3:K14)</f>
        <v/>
      </c>
      <c r="L15" s="22">
        <f>SUM(L3:L14)</f>
        <v/>
      </c>
      <c r="M15" s="22">
        <f>M6</f>
        <v/>
      </c>
      <c r="N15" s="50">
        <f>SUM(N3:N14)</f>
        <v/>
      </c>
      <c r="O15" s="50">
        <f>SUM(O3:O14)</f>
        <v/>
      </c>
      <c r="P15" s="21">
        <f>SUM(P3:P14)</f>
        <v/>
      </c>
      <c r="Q15" s="21">
        <f>SUM(Q3:Q14)</f>
        <v/>
      </c>
      <c r="R15" s="22">
        <f>P15/Q15</f>
        <v/>
      </c>
      <c r="S15" s="11">
        <f>SUM(S3:S14)</f>
        <v/>
      </c>
      <c r="T15" s="11">
        <f>SUM(T3:T14)</f>
        <v/>
      </c>
      <c r="U15" s="11">
        <f>U6</f>
        <v/>
      </c>
      <c r="V15" s="50">
        <f>SUM(V3:V14)</f>
        <v/>
      </c>
      <c r="W15" s="50">
        <f>SUM(W3:W14)</f>
        <v/>
      </c>
      <c r="X15" s="21">
        <f>SUM(X3:X14)</f>
        <v/>
      </c>
      <c r="Y15" s="21">
        <f>SUM(Y3:Y14)</f>
        <v/>
      </c>
      <c r="Z15" s="22">
        <f>X15/Y15</f>
        <v/>
      </c>
      <c r="AA15" s="17">
        <f>SUM(AA3:AA14)</f>
        <v/>
      </c>
      <c r="AB15" s="17">
        <f>SUM(AB3:AB14)</f>
        <v/>
      </c>
      <c r="AC15" s="17">
        <f>AC8</f>
        <v/>
      </c>
      <c r="AD15" s="50">
        <f>SUM(AD3:AD14)</f>
        <v/>
      </c>
      <c r="AE15" s="50">
        <f>SUM(AE3:AE14)</f>
        <v/>
      </c>
      <c r="AF15" s="21">
        <f>SUM(AF3:AF14)</f>
        <v/>
      </c>
      <c r="AG15" s="21">
        <f>SUM(AG3:AG14)</f>
        <v/>
      </c>
      <c r="AH15" s="22">
        <f>AF15/AG15</f>
        <v/>
      </c>
      <c r="AI15" s="48">
        <f>SUM(AI3:AI14)</f>
        <v/>
      </c>
      <c r="AJ15" s="48">
        <f>SUM(AJ3:AJ14)</f>
        <v/>
      </c>
      <c r="AK15" s="49">
        <f>AI15/AJ15</f>
        <v/>
      </c>
    </row>
  </sheetData>
  <mergeCells count="5">
    <mergeCell ref="AI1:AK1"/>
    <mergeCell ref="C1:J1"/>
    <mergeCell ref="K1:R1"/>
    <mergeCell ref="AA1:AH1"/>
    <mergeCell ref="S1:Z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topLeftCell="A18" workbookViewId="0">
      <selection activeCell="A35" sqref="A35"/>
    </sheetView>
  </sheetViews>
  <sheetFormatPr baseColWidth="8" defaultRowHeight="14.5"/>
  <cols>
    <col width="25" bestFit="1" customWidth="1" min="1" max="1"/>
    <col width="25.81640625" bestFit="1" customWidth="1" min="2" max="2"/>
    <col width="18.26953125" bestFit="1" customWidth="1" min="3" max="3"/>
  </cols>
  <sheetData>
    <row r="1">
      <c r="A1" t="inlineStr">
        <is>
          <t>Name</t>
        </is>
      </c>
      <c r="B1" t="inlineStr">
        <is>
          <t>LM</t>
        </is>
      </c>
      <c r="C1" t="inlineStr">
        <is>
          <t>Domain</t>
        </is>
      </c>
    </row>
    <row r="2">
      <c r="A2" s="90" t="inlineStr">
        <is>
          <t>Vivek Singh H</t>
        </is>
      </c>
      <c r="B2" s="90" t="inlineStr">
        <is>
          <t>Umesh Kumar Hasija</t>
        </is>
      </c>
      <c r="C2" s="90" t="inlineStr">
        <is>
          <t>SDC CS&amp;DFE</t>
        </is>
      </c>
      <c r="D2" s="90" t="inlineStr">
        <is>
          <t>Jan</t>
        </is>
      </c>
    </row>
    <row r="3">
      <c r="A3" s="90" t="inlineStr">
        <is>
          <t>Ujwala Gorksha Bankar</t>
        </is>
      </c>
      <c r="B3" t="inlineStr">
        <is>
          <t>Shishir Deshpande</t>
        </is>
      </c>
      <c r="C3" t="inlineStr">
        <is>
          <t>Billing</t>
        </is>
      </c>
      <c r="D3" s="90" t="inlineStr">
        <is>
          <t>Jan</t>
        </is>
      </c>
    </row>
    <row r="4">
      <c r="A4" s="90" t="inlineStr">
        <is>
          <t>Rajni Priyanka Toppo</t>
        </is>
      </c>
      <c r="B4" t="inlineStr">
        <is>
          <t>Suman Chakraborty</t>
        </is>
      </c>
      <c r="C4" t="inlineStr">
        <is>
          <t>Billing</t>
        </is>
      </c>
      <c r="D4" s="90" t="inlineStr">
        <is>
          <t>Jan</t>
        </is>
      </c>
    </row>
    <row r="5">
      <c r="A5" s="35" t="inlineStr">
        <is>
          <t>Arindam Maity</t>
        </is>
      </c>
      <c r="B5" t="inlineStr">
        <is>
          <t>Kamalbhai Bharatkumar Shah</t>
        </is>
      </c>
      <c r="C5" t="inlineStr">
        <is>
          <t>Charging</t>
        </is>
      </c>
      <c r="D5" s="90" t="inlineStr">
        <is>
          <t>Jan</t>
        </is>
      </c>
    </row>
    <row r="6">
      <c r="A6" s="35" t="inlineStr">
        <is>
          <t>Partheeban R</t>
        </is>
      </c>
      <c r="B6" t="inlineStr">
        <is>
          <t>Bishnu Prasad Tripathy</t>
        </is>
      </c>
      <c r="C6" t="inlineStr">
        <is>
          <t>Charging</t>
        </is>
      </c>
      <c r="D6" s="90" t="inlineStr">
        <is>
          <t>Jan</t>
        </is>
      </c>
    </row>
    <row r="7">
      <c r="A7" s="35" t="inlineStr">
        <is>
          <t>Shaik Razzaq</t>
        </is>
      </c>
      <c r="B7" t="inlineStr">
        <is>
          <t>Bishnu Prasad Tripathy</t>
        </is>
      </c>
      <c r="C7" t="inlineStr">
        <is>
          <t>Charging</t>
        </is>
      </c>
      <c r="D7" s="90" t="inlineStr">
        <is>
          <t>Jan</t>
        </is>
      </c>
    </row>
    <row r="8">
      <c r="A8" s="35" t="inlineStr">
        <is>
          <t>Dinesh Kumar M K</t>
        </is>
      </c>
      <c r="B8" t="inlineStr">
        <is>
          <t>Amrit Das D</t>
        </is>
      </c>
      <c r="C8" t="inlineStr">
        <is>
          <t>Charging</t>
        </is>
      </c>
      <c r="D8" s="90" t="inlineStr">
        <is>
          <t>Jan</t>
        </is>
      </c>
    </row>
    <row r="9">
      <c r="A9" s="35" t="inlineStr">
        <is>
          <t>Vasanth Francis</t>
        </is>
      </c>
      <c r="B9" t="inlineStr">
        <is>
          <t>Sasikumar Kesavan</t>
        </is>
      </c>
      <c r="C9" t="inlineStr">
        <is>
          <t>Charging</t>
        </is>
      </c>
      <c r="D9" s="90" t="inlineStr">
        <is>
          <t>Jan</t>
        </is>
      </c>
    </row>
    <row r="10">
      <c r="A10" s="35" t="inlineStr">
        <is>
          <t>Udayakumar S</t>
        </is>
      </c>
      <c r="C10" t="inlineStr">
        <is>
          <t>Charging</t>
        </is>
      </c>
      <c r="D10" s="90" t="inlineStr">
        <is>
          <t>Feb</t>
        </is>
      </c>
    </row>
    <row r="11">
      <c r="A11" s="35" t="inlineStr">
        <is>
          <t>Sudhanshu B Dubey</t>
        </is>
      </c>
      <c r="C11" t="inlineStr">
        <is>
          <t>Charging</t>
        </is>
      </c>
      <c r="D11" s="90" t="inlineStr">
        <is>
          <t>Feb</t>
        </is>
      </c>
    </row>
    <row r="12">
      <c r="A12" s="35" t="inlineStr">
        <is>
          <t>Yaser Majeed</t>
        </is>
      </c>
      <c r="C12" t="inlineStr">
        <is>
          <t>Charging</t>
        </is>
      </c>
      <c r="D12" s="90" t="inlineStr">
        <is>
          <t>Feb</t>
        </is>
      </c>
    </row>
    <row r="13">
      <c r="A13" s="35" t="inlineStr">
        <is>
          <t>Amit Kumar QQ</t>
        </is>
      </c>
      <c r="C13" t="inlineStr">
        <is>
          <t>Charging</t>
        </is>
      </c>
      <c r="D13" s="90" t="inlineStr">
        <is>
          <t>Feb</t>
        </is>
      </c>
    </row>
    <row r="14">
      <c r="A14" s="35" t="inlineStr">
        <is>
          <t>Ateesh Varun</t>
        </is>
      </c>
      <c r="C14" t="inlineStr">
        <is>
          <t>Charging</t>
        </is>
      </c>
      <c r="D14" s="90" t="inlineStr">
        <is>
          <t>Feb</t>
        </is>
      </c>
    </row>
    <row r="15">
      <c r="A15" s="90" t="inlineStr">
        <is>
          <t>Shilpi Srivastava</t>
        </is>
      </c>
      <c r="C15" s="90" t="inlineStr">
        <is>
          <t>SDC CS&amp;DFE</t>
        </is>
      </c>
      <c r="D15" s="90" t="inlineStr">
        <is>
          <t>Feb</t>
        </is>
      </c>
    </row>
    <row r="16">
      <c r="A16" s="90" t="inlineStr">
        <is>
          <t>Akbar Hussain</t>
        </is>
      </c>
      <c r="C16" s="90" t="inlineStr">
        <is>
          <t>SDC CS&amp;DFE</t>
        </is>
      </c>
      <c r="D16" s="90" t="inlineStr">
        <is>
          <t>Feb</t>
        </is>
      </c>
    </row>
    <row r="17">
      <c r="A17" s="35" t="inlineStr">
        <is>
          <t>Suparba Roy Mahapatra</t>
        </is>
      </c>
      <c r="C17" t="inlineStr">
        <is>
          <t>Billing</t>
        </is>
      </c>
      <c r="D17" s="90" t="inlineStr">
        <is>
          <t>Feb</t>
        </is>
      </c>
    </row>
    <row r="18">
      <c r="A18" s="35" t="inlineStr">
        <is>
          <t>Badal Chandra Das</t>
        </is>
      </c>
      <c r="C18" t="inlineStr">
        <is>
          <t>Billing</t>
        </is>
      </c>
      <c r="D18" s="90" t="inlineStr">
        <is>
          <t>Feb</t>
        </is>
      </c>
    </row>
    <row r="19">
      <c r="A19" s="35" t="inlineStr">
        <is>
          <t>N Sudarvanna Pillai</t>
        </is>
      </c>
      <c r="C19" t="inlineStr">
        <is>
          <t>Billing</t>
        </is>
      </c>
      <c r="D19" s="90" t="inlineStr">
        <is>
          <t>Feb</t>
        </is>
      </c>
    </row>
    <row r="20">
      <c r="A20" s="35" t="inlineStr">
        <is>
          <t>Thota Arun Kumar</t>
        </is>
      </c>
      <c r="C20" t="inlineStr">
        <is>
          <t>Billing</t>
        </is>
      </c>
      <c r="D20" s="90" t="inlineStr">
        <is>
          <t>Feb</t>
        </is>
      </c>
    </row>
    <row r="21">
      <c r="A21" s="35" t="inlineStr">
        <is>
          <t>Prashant Kumar Gupta K</t>
        </is>
      </c>
      <c r="C21" t="inlineStr">
        <is>
          <t>Billing</t>
        </is>
      </c>
      <c r="D21" s="90" t="inlineStr">
        <is>
          <t>Feb</t>
        </is>
      </c>
    </row>
    <row r="22">
      <c r="A22" s="90" t="inlineStr">
        <is>
          <t>Manish Kumar S</t>
        </is>
      </c>
      <c r="C22" t="inlineStr">
        <is>
          <t>SDC SDC Billing&amp;MW</t>
        </is>
      </c>
      <c r="D22" s="90" t="inlineStr">
        <is>
          <t>Feb</t>
        </is>
      </c>
    </row>
    <row r="23">
      <c r="A23" s="90" t="inlineStr">
        <is>
          <t>Santanu Sadhu</t>
        </is>
      </c>
      <c r="C23" t="inlineStr">
        <is>
          <t>SDC SDC Billing&amp;MW</t>
        </is>
      </c>
      <c r="D23" s="90" t="inlineStr">
        <is>
          <t>Feb</t>
        </is>
      </c>
    </row>
    <row r="24">
      <c r="A24" s="90" t="inlineStr">
        <is>
          <t>Suparba Roy Mahapatra</t>
        </is>
      </c>
      <c r="C24" t="inlineStr">
        <is>
          <t>Billing</t>
        </is>
      </c>
      <c r="D24" t="inlineStr">
        <is>
          <t>Mar</t>
        </is>
      </c>
    </row>
    <row r="25">
      <c r="A25" s="90" t="inlineStr">
        <is>
          <t>Thota Arun Kumar</t>
        </is>
      </c>
      <c r="C25" t="inlineStr">
        <is>
          <t>Billing</t>
        </is>
      </c>
      <c r="D25" t="inlineStr">
        <is>
          <t>Mar</t>
        </is>
      </c>
    </row>
    <row r="26">
      <c r="A26" s="90" t="inlineStr">
        <is>
          <t>Priyadarshanimanisha Devi</t>
        </is>
      </c>
      <c r="C26" t="inlineStr">
        <is>
          <t>Billing</t>
        </is>
      </c>
      <c r="D26" t="inlineStr">
        <is>
          <t>Mar</t>
        </is>
      </c>
    </row>
    <row r="27">
      <c r="A27" s="90" t="inlineStr">
        <is>
          <t>Sujoy Palit</t>
        </is>
      </c>
      <c r="C27" t="inlineStr">
        <is>
          <t>Billing</t>
        </is>
      </c>
      <c r="D27" t="inlineStr">
        <is>
          <t>Mar</t>
        </is>
      </c>
    </row>
    <row r="28">
      <c r="A28" s="90" t="inlineStr">
        <is>
          <t>Prashant Kumar Gupta K</t>
        </is>
      </c>
      <c r="C28" t="inlineStr">
        <is>
          <t>Billing</t>
        </is>
      </c>
      <c r="D28" t="inlineStr">
        <is>
          <t>Mar</t>
        </is>
      </c>
    </row>
    <row r="29">
      <c r="A29" s="90" t="inlineStr">
        <is>
          <t>Santanu Sadhu</t>
        </is>
      </c>
      <c r="C29" t="inlineStr">
        <is>
          <t>SDC SDC Billing&amp;MW</t>
        </is>
      </c>
      <c r="D29" t="inlineStr">
        <is>
          <t>Mar</t>
        </is>
      </c>
    </row>
    <row r="30">
      <c r="A30" s="90" t="inlineStr">
        <is>
          <t>Manish Kumar S</t>
        </is>
      </c>
      <c r="C30" t="inlineStr">
        <is>
          <t>SDC SDC Billing&amp;MW</t>
        </is>
      </c>
      <c r="D30" t="inlineStr">
        <is>
          <t>Mar</t>
        </is>
      </c>
    </row>
    <row r="31">
      <c r="A31" s="90" t="inlineStr">
        <is>
          <t>Monalisa Mahato</t>
        </is>
      </c>
      <c r="C31" t="inlineStr">
        <is>
          <t>SDC SDC Billing&amp;MW</t>
        </is>
      </c>
      <c r="D31" t="inlineStr">
        <is>
          <t>Mar</t>
        </is>
      </c>
    </row>
    <row r="32">
      <c r="A32" s="90" t="inlineStr">
        <is>
          <t>Akash Ghosh</t>
        </is>
      </c>
      <c r="C32" t="inlineStr">
        <is>
          <t>Charging</t>
        </is>
      </c>
      <c r="D32" t="inlineStr">
        <is>
          <t>Mar</t>
        </is>
      </c>
    </row>
    <row r="33">
      <c r="A33" s="90" t="inlineStr">
        <is>
          <t>Bharath K B</t>
        </is>
      </c>
      <c r="C33" t="inlineStr">
        <is>
          <t>Charging</t>
        </is>
      </c>
      <c r="D33" t="inlineStr">
        <is>
          <t>Mar</t>
        </is>
      </c>
    </row>
    <row r="34">
      <c r="A34" s="35" t="inlineStr">
        <is>
          <t>Dinesh Kumar M K</t>
        </is>
      </c>
      <c r="C34" t="inlineStr">
        <is>
          <t>Charging</t>
        </is>
      </c>
      <c r="D34" t="inlineStr">
        <is>
          <t>Mar</t>
        </is>
      </c>
    </row>
    <row r="35">
      <c r="A35" s="35" t="inlineStr">
        <is>
          <t>Surendiran B</t>
        </is>
      </c>
      <c r="C35" t="inlineStr">
        <is>
          <t>Charging</t>
        </is>
      </c>
      <c r="D35" t="inlineStr">
        <is>
          <t>Mar</t>
        </is>
      </c>
    </row>
    <row r="36">
      <c r="A36" s="35" t="inlineStr">
        <is>
          <t>Anupam Chakraborty</t>
        </is>
      </c>
      <c r="C36" t="inlineStr">
        <is>
          <t>Charging</t>
        </is>
      </c>
      <c r="D36" t="inlineStr">
        <is>
          <t>Mar</t>
        </is>
      </c>
    </row>
    <row r="37">
      <c r="A37" s="35" t="inlineStr">
        <is>
          <t>Shilpi Srivastava</t>
        </is>
      </c>
      <c r="C37" s="90" t="inlineStr">
        <is>
          <t>SDC CS&amp;DFE</t>
        </is>
      </c>
      <c r="D37" t="inlineStr">
        <is>
          <t>Mar</t>
        </is>
      </c>
    </row>
    <row r="38">
      <c r="A38" s="35" t="inlineStr">
        <is>
          <t>Padmendra Sengar</t>
        </is>
      </c>
      <c r="C38" s="90" t="inlineStr">
        <is>
          <t>SDC CS&amp;DFE</t>
        </is>
      </c>
      <c r="D38" t="inlineStr">
        <is>
          <t>Mar</t>
        </is>
      </c>
    </row>
    <row r="39">
      <c r="A39" s="35" t="inlineStr">
        <is>
          <t>Savita Choudhary</t>
        </is>
      </c>
      <c r="C39" s="90" t="inlineStr">
        <is>
          <t>SDC CS&amp;DFE</t>
        </is>
      </c>
      <c r="D39" t="inlineStr">
        <is>
          <t>Mar</t>
        </is>
      </c>
    </row>
    <row r="40">
      <c r="A40" s="35" t="inlineStr">
        <is>
          <t>Aruna .</t>
        </is>
      </c>
      <c r="C40" s="90" t="inlineStr">
        <is>
          <t>SDC CS&amp;DFE</t>
        </is>
      </c>
      <c r="D40" t="inlineStr">
        <is>
          <t>Mar</t>
        </is>
      </c>
    </row>
    <row r="41">
      <c r="A41" s="35" t="inlineStr">
        <is>
          <t>Anshu Jaiswal</t>
        </is>
      </c>
      <c r="C41" s="90" t="inlineStr">
        <is>
          <t>SDC CS&amp;DFE</t>
        </is>
      </c>
      <c r="D41" t="inlineStr">
        <is>
          <t>Mar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zoomScale="80" zoomScaleNormal="80" workbookViewId="0">
      <selection activeCell="F3" sqref="F3:F7"/>
    </sheetView>
  </sheetViews>
  <sheetFormatPr baseColWidth="8" defaultRowHeight="14.5"/>
  <cols>
    <col width="88.6328125" bestFit="1" customWidth="1" min="1" max="1"/>
    <col width="18.26953125" customWidth="1" min="2" max="2"/>
    <col hidden="1" width="8.7265625" customWidth="1" min="3" max="4"/>
    <col width="63.1796875" customWidth="1" min="5" max="5"/>
  </cols>
  <sheetData>
    <row r="1">
      <c r="A1" s="87" t="inlineStr">
        <is>
          <t>Top 5 assets Charging</t>
        </is>
      </c>
      <c r="B1" s="87" t="inlineStr">
        <is>
          <t>Hours</t>
        </is>
      </c>
      <c r="C1" s="88" t="n"/>
      <c r="D1" s="88" t="n"/>
      <c r="E1" s="86" t="inlineStr">
        <is>
          <t>Top 5 asset Billing</t>
        </is>
      </c>
      <c r="F1" s="86" t="inlineStr">
        <is>
          <t>Hours</t>
        </is>
      </c>
    </row>
    <row r="2" hidden="1">
      <c r="A2" s="57" t="inlineStr">
        <is>
          <t>Row Labels</t>
        </is>
      </c>
      <c r="B2" s="57" t="inlineStr">
        <is>
          <t>Sum of Total Saving</t>
        </is>
      </c>
      <c r="C2" s="38" t="n"/>
      <c r="D2" s="38" t="n"/>
      <c r="E2" s="57" t="inlineStr">
        <is>
          <t>Row Labels</t>
        </is>
      </c>
      <c r="F2" s="38" t="n"/>
    </row>
    <row r="3">
      <c r="A3" s="89" t="inlineStr">
        <is>
          <t>BSS - EC21 - SDP Report in Single Click - Script</t>
        </is>
      </c>
      <c r="B3" s="38" t="n">
        <v>13874.57000000001</v>
      </c>
      <c r="C3" s="38" t="n"/>
      <c r="D3" s="38" t="n"/>
      <c r="E3" s="89" t="inlineStr">
        <is>
          <t>Weblogic Stop-Start Automation for Prepaid Magenta</t>
        </is>
      </c>
      <c r="F3" s="38" t="n">
        <v>1800</v>
      </c>
    </row>
    <row r="4">
      <c r="A4" s="89" t="inlineStr">
        <is>
          <t>BSS - EC21 - AIR Single Click Report - Script</t>
        </is>
      </c>
      <c r="B4" s="38" t="n">
        <v>3230.890000000001</v>
      </c>
      <c r="C4" s="38" t="n"/>
      <c r="D4" s="38" t="n"/>
      <c r="E4" s="89" t="inlineStr">
        <is>
          <t>BSCS Regression Test Suite</t>
        </is>
      </c>
      <c r="F4" s="38" t="n">
        <v>650</v>
      </c>
    </row>
    <row r="5">
      <c r="A5" s="89" t="inlineStr">
        <is>
          <t>SDP Upgrade Customization (CDD-PSP &amp; L1-PSP)</t>
        </is>
      </c>
      <c r="B5" s="38" t="n">
        <v>2950</v>
      </c>
      <c r="C5" s="38" t="n"/>
      <c r="D5" s="38" t="n"/>
      <c r="E5" s="89" t="inlineStr">
        <is>
          <t>BSCS_START/STOP APPLICATION AUTOMATION</t>
        </is>
      </c>
      <c r="F5" s="38" t="n">
        <v>551</v>
      </c>
    </row>
    <row r="6">
      <c r="A6" s="89" t="inlineStr">
        <is>
          <t>BSS - Ericsson Charging Automation framework Offering [ECAF Assets] Load Balancing - Tool</t>
        </is>
      </c>
      <c r="B6" s="38" t="n">
        <v>2767.72</v>
      </c>
      <c r="C6" s="38" t="n"/>
      <c r="D6" s="38" t="n"/>
      <c r="E6" s="89" t="inlineStr">
        <is>
          <t>BSS - EB - Deployment guide</t>
        </is>
      </c>
      <c r="F6" s="38" t="n">
        <v>532.4000000000001</v>
      </c>
    </row>
    <row r="7">
      <c r="A7" s="89" t="inlineStr">
        <is>
          <t>cECC TestAutomation ESSVT Asset for SDP Functional_Asset</t>
        </is>
      </c>
      <c r="B7" s="38" t="n">
        <v>2220</v>
      </c>
      <c r="C7" s="38" t="n"/>
      <c r="D7" s="38" t="n"/>
      <c r="E7" s="89" t="inlineStr">
        <is>
          <t>BSS - EB - Infra Deployment pipeline</t>
        </is>
      </c>
      <c r="F7" s="38" t="n">
        <v>514.5</v>
      </c>
    </row>
    <row r="8" hidden="1">
      <c r="A8" s="35" t="inlineStr">
        <is>
          <t>BSS - Ericsson Charging Automation framework Offering [ECAF Assets] SDP Upgrade[BM &amp; VM] FNI - Tool</t>
        </is>
      </c>
      <c r="B8" t="n">
        <v>1390.8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D94"/>
  <sheetViews>
    <sheetView workbookViewId="0">
      <selection activeCell="A1" sqref="A1:D1"/>
    </sheetView>
  </sheetViews>
  <sheetFormatPr baseColWidth="8" defaultRowHeight="14.5"/>
  <cols>
    <col width="6.7265625" bestFit="1" customWidth="1" min="1" max="1"/>
    <col width="81" bestFit="1" customWidth="1" min="2" max="2"/>
    <col width="11.7265625" bestFit="1" customWidth="1" min="3" max="3"/>
    <col width="20.08984375" bestFit="1" customWidth="1" min="4" max="4"/>
  </cols>
  <sheetData>
    <row r="1">
      <c r="A1" s="115" t="inlineStr">
        <is>
          <t>CHARGING</t>
        </is>
      </c>
      <c r="B1" s="138" t="n"/>
      <c r="C1" s="138" t="n"/>
      <c r="D1" s="138" t="n"/>
    </row>
    <row r="2">
      <c r="A2" s="61" t="inlineStr">
        <is>
          <t>Asset Id</t>
        </is>
      </c>
      <c r="B2" s="62" t="inlineStr">
        <is>
          <t>Asset Name</t>
        </is>
      </c>
      <c r="C2" s="62" t="inlineStr">
        <is>
          <t>Node Type</t>
        </is>
      </c>
      <c r="D2" s="62" t="inlineStr">
        <is>
          <t>Asset Group</t>
        </is>
      </c>
    </row>
    <row r="3">
      <c r="A3" s="63" t="n">
        <v>3631</v>
      </c>
      <c r="B3" s="59" t="inlineStr">
        <is>
          <t>BSS - CS16 - Extraction of Live Structures from SDP AIR RMA configuration - Tool</t>
        </is>
      </c>
      <c r="C3" s="59" t="inlineStr">
        <is>
          <t>CS - Multi Node</t>
        </is>
      </c>
      <c r="D3" s="59" t="inlineStr">
        <is>
          <t>29~Business Configuration</t>
        </is>
      </c>
    </row>
    <row r="4">
      <c r="A4" s="63" t="n">
        <v>51429</v>
      </c>
      <c r="B4" s="59" t="inlineStr">
        <is>
          <t>BSS - EC20 - SDP Business Config Time Based action use case - TOL</t>
        </is>
      </c>
      <c r="C4" s="59" t="inlineStr">
        <is>
          <t>SDP</t>
        </is>
      </c>
      <c r="D4" s="59" t="inlineStr">
        <is>
          <t>29~Business Configuration</t>
        </is>
      </c>
    </row>
    <row r="5">
      <c r="A5" s="63" t="n">
        <v>51870</v>
      </c>
      <c r="B5" s="59" t="inlineStr">
        <is>
          <t>BSS - EC20 - BC Automation - Tool</t>
        </is>
      </c>
      <c r="C5" s="59" t="inlineStr">
        <is>
          <t>CS - Multi Node</t>
        </is>
      </c>
      <c r="D5" s="59" t="inlineStr">
        <is>
          <t>29~Business Configuration</t>
        </is>
      </c>
    </row>
    <row r="6">
      <c r="A6" s="63" t="n">
        <v>52203</v>
      </c>
      <c r="B6" s="59" t="inlineStr">
        <is>
          <t>BSS - Charging system Automation framework Offering [ECAF Assets] NGVS Installation Bare Metal SNI  - Tool</t>
        </is>
      </c>
      <c r="C6" s="59" t="inlineStr">
        <is>
          <t>NGVS</t>
        </is>
      </c>
      <c r="D6" s="59" t="inlineStr">
        <is>
          <t>26~Installation</t>
        </is>
      </c>
    </row>
    <row r="7">
      <c r="A7" s="63" t="n">
        <v>52222</v>
      </c>
      <c r="B7" s="59" t="inlineStr">
        <is>
          <t>BSS - Charging system Automation framework Offering [CSAF Assets] NGVS Integration FNI - Tool</t>
        </is>
      </c>
      <c r="C7" s="59" t="inlineStr">
        <is>
          <t>NGVS</t>
        </is>
      </c>
      <c r="D7" s="59" t="inlineStr">
        <is>
          <t>26~Installation</t>
        </is>
      </c>
    </row>
    <row r="8">
      <c r="A8" s="63" t="n">
        <v>52224</v>
      </c>
      <c r="B8" s="59" t="inlineStr">
        <is>
          <t>BSS - Charging system Automation framework Offering [CSAF Assets] AIR Integration SNI  - Tool</t>
        </is>
      </c>
      <c r="C8" s="59" t="inlineStr">
        <is>
          <t>AIR</t>
        </is>
      </c>
      <c r="D8" s="59" t="inlineStr">
        <is>
          <t>26~Installation</t>
        </is>
      </c>
    </row>
    <row r="9">
      <c r="A9" s="63" t="n">
        <v>53326</v>
      </c>
      <c r="B9" s="59" t="inlineStr">
        <is>
          <t>BSS - CS - SDP AIR UTIL TOOL - SCRIPT</t>
        </is>
      </c>
      <c r="C9" s="59" t="inlineStr">
        <is>
          <t>CS - Multi Node</t>
        </is>
      </c>
      <c r="D9" s="59" t="inlineStr">
        <is>
          <t>32~Miscellaneous</t>
        </is>
      </c>
    </row>
    <row r="10">
      <c r="A10" s="63" t="n">
        <v>53754</v>
      </c>
      <c r="B10" s="59" t="inlineStr">
        <is>
          <t>BSS - CS Template Based Business Configuration</t>
        </is>
      </c>
      <c r="C10" s="59" t="inlineStr">
        <is>
          <t>CS - Multi Node</t>
        </is>
      </c>
      <c r="D10" s="59" t="inlineStr">
        <is>
          <t>29~Business Configuration</t>
        </is>
      </c>
    </row>
    <row r="11">
      <c r="A11" s="63" t="n">
        <v>54064</v>
      </c>
      <c r="B11" s="59" t="inlineStr">
        <is>
          <t>BSS-CS-license ordering Flow-FLOW</t>
        </is>
      </c>
      <c r="C11" s="59" t="inlineStr">
        <is>
          <t xml:space="preserve">CS </t>
        </is>
      </c>
      <c r="D11" s="59" t="inlineStr">
        <is>
          <t>32~Miscellaneous</t>
        </is>
      </c>
    </row>
    <row r="12">
      <c r="A12" s="63" t="n">
        <v>54159</v>
      </c>
      <c r="B12" s="59" t="inlineStr">
        <is>
          <t>BSS-CS18.1 - Traffic Simulator - Package</t>
        </is>
      </c>
      <c r="C12" s="59" t="inlineStr">
        <is>
          <t>CS - Multi Node</t>
        </is>
      </c>
      <c r="D12" s="59" t="inlineStr">
        <is>
          <t>32~Miscellaneous</t>
        </is>
      </c>
    </row>
    <row r="13">
      <c r="A13" s="63" t="n">
        <v>54539</v>
      </c>
      <c r="B13" s="59" t="inlineStr">
        <is>
          <t>BSS-EC20-Define/Update Business Configuration resources(Offer/DA/UA/UC/UT)in SDP SMA-Script</t>
        </is>
      </c>
      <c r="C13" s="59" t="inlineStr">
        <is>
          <t>SDP</t>
        </is>
      </c>
      <c r="D13" s="59" t="inlineStr">
        <is>
          <t>29~Business Configuration</t>
        </is>
      </c>
    </row>
    <row r="14">
      <c r="A14" s="63" t="n">
        <v>55799</v>
      </c>
      <c r="B14" s="59" t="inlineStr">
        <is>
          <t>BSS-EC20-NGVS ICP20-01 Upgrade Learnings</t>
        </is>
      </c>
      <c r="C14" s="59" t="inlineStr">
        <is>
          <t>NGVS</t>
        </is>
      </c>
      <c r="D14" s="59" t="inlineStr">
        <is>
          <t>27~Upgrade</t>
        </is>
      </c>
    </row>
    <row r="15">
      <c r="A15" s="64" t="n">
        <v>57302</v>
      </c>
      <c r="B15" s="58" t="inlineStr">
        <is>
          <t>BSS - Ericsson Charging Automation framework Offering [ECAF HC Assets] VXML-IVR HealthCheck - Tool</t>
        </is>
      </c>
      <c r="C15" s="65" t="inlineStr">
        <is>
          <t>VXML</t>
        </is>
      </c>
      <c r="D15" s="65" t="inlineStr">
        <is>
          <t>32~Miscellaneous</t>
        </is>
      </c>
    </row>
    <row r="16">
      <c r="A16" s="64" t="n">
        <v>57422</v>
      </c>
      <c r="B16" s="58" t="inlineStr">
        <is>
          <t>BSS-EC21-GT_ChangeProcedure_SDP/AIR/CCN - MOP</t>
        </is>
      </c>
      <c r="C16" s="65" t="inlineStr">
        <is>
          <t>CS - Multi Node</t>
        </is>
      </c>
      <c r="D16" s="65" t="inlineStr">
        <is>
          <t>26~Installation</t>
        </is>
      </c>
    </row>
    <row r="17">
      <c r="A17" s="64" t="n">
        <v>58621</v>
      </c>
      <c r="B17" s="58" t="inlineStr">
        <is>
          <t>BSS_EC21_AIR Acceptance Procedure Upgrade Template</t>
        </is>
      </c>
      <c r="C17" s="65" t="inlineStr">
        <is>
          <t>AIR</t>
        </is>
      </c>
      <c r="D17" s="65" t="inlineStr">
        <is>
          <t>27~Upgrade</t>
        </is>
      </c>
    </row>
    <row r="18">
      <c r="A18" s="64" t="n">
        <v>58855</v>
      </c>
      <c r="B18" s="58" t="inlineStr">
        <is>
          <t>BSS - EC21 - ECMS 5.0.2 to 5.4.0 EC21 GA Upgrade - Impact Analysis</t>
        </is>
      </c>
      <c r="C18" s="65" t="inlineStr">
        <is>
          <t>ECMS</t>
        </is>
      </c>
      <c r="D18" s="65" t="inlineStr">
        <is>
          <t>27~Upgrade</t>
        </is>
      </c>
    </row>
    <row r="19">
      <c r="A19" s="64" t="n">
        <v>59184</v>
      </c>
      <c r="B19" s="58" t="inlineStr">
        <is>
          <t>BSS - EC21 - NGCRS Upgrade Network Impact Report</t>
        </is>
      </c>
      <c r="C19" s="65" t="inlineStr">
        <is>
          <t>NGCRS</t>
        </is>
      </c>
      <c r="D19" s="65" t="inlineStr">
        <is>
          <t>27~Upgrade</t>
        </is>
      </c>
    </row>
    <row r="20">
      <c r="A20" s="64" t="n">
        <v>59421</v>
      </c>
      <c r="B20" s="58" t="inlineStr">
        <is>
          <t>BSS-EC20-NGCRS 9x SAP BO Reports Validation Procedure and Methodology for Account Reporting Area</t>
        </is>
      </c>
      <c r="C20" s="66" t="inlineStr">
        <is>
          <t xml:space="preserve">NGCRS </t>
        </is>
      </c>
      <c r="D20" s="65" t="inlineStr">
        <is>
          <t>32~Miscellaneous</t>
        </is>
      </c>
    </row>
    <row r="21">
      <c r="A21" s="64" t="n">
        <v>59425</v>
      </c>
      <c r="B21" s="58" t="inlineStr">
        <is>
          <t>BSS - EC20 - ECMS Installation Test Object List</t>
        </is>
      </c>
      <c r="C21" s="65" t="inlineStr">
        <is>
          <t>ECMS</t>
        </is>
      </c>
      <c r="D21" s="65" t="inlineStr">
        <is>
          <t>26~Installation</t>
        </is>
      </c>
    </row>
    <row r="22">
      <c r="A22" s="64" t="n">
        <v>59429</v>
      </c>
      <c r="B22" s="58" t="inlineStr">
        <is>
          <t>BSS - EC20 - ECMS Firmware Upgrade MOP</t>
        </is>
      </c>
      <c r="C22" s="65" t="inlineStr">
        <is>
          <t>ECMS</t>
        </is>
      </c>
      <c r="D22" s="65" t="inlineStr">
        <is>
          <t>27~Upgrade</t>
        </is>
      </c>
    </row>
    <row r="23">
      <c r="A23" s="64" t="n">
        <v>59436</v>
      </c>
      <c r="B23" s="58" t="inlineStr">
        <is>
          <t>BSS - EC20 - ECMS Handover to Operations</t>
        </is>
      </c>
      <c r="C23" s="65" t="inlineStr">
        <is>
          <t>ECMS</t>
        </is>
      </c>
      <c r="D23" s="65" t="inlineStr">
        <is>
          <t>32~Miscellaneous</t>
        </is>
      </c>
    </row>
    <row r="24">
      <c r="A24" s="64" t="n">
        <v>59452</v>
      </c>
      <c r="B24" s="58" t="inlineStr">
        <is>
          <t>BSS - EC20 - EC PCS OCC Low Level Design Document</t>
        </is>
      </c>
      <c r="C24" s="65" t="inlineStr">
        <is>
          <t>OCC</t>
        </is>
      </c>
      <c r="D24" s="65" t="inlineStr">
        <is>
          <t>32~Miscellaneous</t>
        </is>
      </c>
    </row>
    <row r="25">
      <c r="A25" s="64" t="n">
        <v>60476</v>
      </c>
      <c r="B25" s="58" t="inlineStr">
        <is>
          <t>BSS - EC20 - CCN Migration Strategy</t>
        </is>
      </c>
      <c r="C25" s="65" t="inlineStr">
        <is>
          <t>CCN</t>
        </is>
      </c>
      <c r="D25" s="65" t="inlineStr">
        <is>
          <t>33~Migration Assets</t>
        </is>
      </c>
    </row>
    <row r="26">
      <c r="A26" s="64" t="n">
        <v>61260</v>
      </c>
      <c r="B26" s="58" t="inlineStr">
        <is>
          <t>BSS - EC21 - NGCRS Upgrade MOP</t>
        </is>
      </c>
      <c r="C26" s="65" t="inlineStr">
        <is>
          <t>NGCRS</t>
        </is>
      </c>
      <c r="D26" s="65" t="inlineStr">
        <is>
          <t>27~Upgrade</t>
        </is>
      </c>
    </row>
    <row r="27">
      <c r="A27" s="64" t="n">
        <v>62398</v>
      </c>
      <c r="B27" s="58" t="inlineStr">
        <is>
          <t>BSS-EC21-SDP-TEMPLATE OFFER VALIDATION SCRIPT-TOOL</t>
        </is>
      </c>
      <c r="C27" s="65" t="inlineStr">
        <is>
          <t>SDP</t>
        </is>
      </c>
      <c r="D27" s="65" t="inlineStr">
        <is>
          <t>29~Business Configuration</t>
        </is>
      </c>
    </row>
    <row r="28">
      <c r="A28" s="64" t="n">
        <v>62399</v>
      </c>
      <c r="B28" s="58" t="inlineStr">
        <is>
          <t>BSS-EC20-CS XML Generator</t>
        </is>
      </c>
      <c r="C28" s="65" t="inlineStr">
        <is>
          <t>CS - Multi Node</t>
        </is>
      </c>
      <c r="D28" s="65" t="inlineStr">
        <is>
          <t>29~Business Configuration</t>
        </is>
      </c>
    </row>
    <row r="29">
      <c r="A29" s="64" t="n">
        <v>62401</v>
      </c>
      <c r="B29" s="58" t="inlineStr">
        <is>
          <t>BSS-EC21-SDP-BC Data Extraction from Static Dump - Script</t>
        </is>
      </c>
      <c r="C29" s="65" t="inlineStr">
        <is>
          <t>SDP</t>
        </is>
      </c>
      <c r="D29" s="65" t="inlineStr">
        <is>
          <t>29~Business Configuration</t>
        </is>
      </c>
    </row>
    <row r="30">
      <c r="A30" s="64" t="n">
        <v>62402</v>
      </c>
      <c r="B30" s="58" t="inlineStr">
        <is>
          <t>BSS - EC22 - Estimator Upgrade - Tool</t>
        </is>
      </c>
      <c r="C30" s="65" t="inlineStr">
        <is>
          <t>CS - Multi Node</t>
        </is>
      </c>
      <c r="D30" s="65" t="inlineStr">
        <is>
          <t>27~Upgrade</t>
        </is>
      </c>
    </row>
    <row r="31">
      <c r="A31" s="64" t="n">
        <v>65557</v>
      </c>
      <c r="B31" s="58" t="inlineStr">
        <is>
          <t>BSS - EC22- SoW New Deployment-Template</t>
        </is>
      </c>
      <c r="C31" s="65" t="inlineStr">
        <is>
          <t>CS - Multi Node</t>
        </is>
      </c>
      <c r="D31" s="65" t="inlineStr">
        <is>
          <t>32~Miscellaneous</t>
        </is>
      </c>
    </row>
    <row r="32">
      <c r="A32" s="64" t="n">
        <v>65558</v>
      </c>
      <c r="B32" s="58" t="inlineStr">
        <is>
          <t>BSS - EC22- SoW Upgrade-Template</t>
        </is>
      </c>
      <c r="C32" s="65" t="inlineStr">
        <is>
          <t>CS - Multi Node</t>
        </is>
      </c>
      <c r="D32" s="65" t="inlineStr">
        <is>
          <t>32~Miscellaneous</t>
        </is>
      </c>
    </row>
    <row r="33">
      <c r="A33" s="64" t="n">
        <v>66118</v>
      </c>
      <c r="B33" s="58" t="inlineStr">
        <is>
          <t>BSS - EC22- Resource Planning-Guide</t>
        </is>
      </c>
      <c r="C33" s="65" t="inlineStr">
        <is>
          <t>CS - Multi Node</t>
        </is>
      </c>
      <c r="D33" s="65" t="inlineStr">
        <is>
          <t>32~Miscellaneous</t>
        </is>
      </c>
    </row>
    <row r="34">
      <c r="A34" s="64" t="n">
        <v>66168</v>
      </c>
      <c r="B34" s="58" t="inlineStr">
        <is>
          <t>BSS - EC21 - Testing - Ericsson Charging Automation Test Tool</t>
        </is>
      </c>
      <c r="C34" s="65" t="inlineStr">
        <is>
          <t>CS- Multi Node</t>
        </is>
      </c>
      <c r="D34" s="65" t="inlineStr">
        <is>
          <t>32~Miscellaneous</t>
        </is>
      </c>
    </row>
    <row r="35">
      <c r="A35" s="64" t="n">
        <v>66175</v>
      </c>
      <c r="B35" s="58" t="inlineStr">
        <is>
          <t>BSS-EC22-AIR-Network Impact Report</t>
        </is>
      </c>
      <c r="C35" s="66" t="inlineStr">
        <is>
          <t>AIR</t>
        </is>
      </c>
      <c r="D35" s="65" t="inlineStr">
        <is>
          <t>32~Miscellaneous</t>
        </is>
      </c>
    </row>
    <row r="36">
      <c r="A36" s="64" t="n">
        <v>70002</v>
      </c>
      <c r="B36" s="58" t="inlineStr">
        <is>
          <t>BSS - EC22.2-Estimator for New Deployments-Tool</t>
        </is>
      </c>
      <c r="C36" s="65" t="inlineStr">
        <is>
          <t>CS - Multi Node</t>
        </is>
      </c>
      <c r="D36" s="65" t="inlineStr">
        <is>
          <t>32~Miscellaneous</t>
        </is>
      </c>
    </row>
    <row r="37">
      <c r="A37" s="64" t="n">
        <v>70449</v>
      </c>
      <c r="B37" s="58" t="inlineStr">
        <is>
          <t>BSS - EC 22 - Container standalone SDP Geo Red failover &amp; fallback script execution MOP</t>
        </is>
      </c>
      <c r="C37" s="65" t="inlineStr">
        <is>
          <t>SDP</t>
        </is>
      </c>
      <c r="D37" s="65" t="inlineStr">
        <is>
          <t>32~Miscellaneous</t>
        </is>
      </c>
    </row>
    <row r="38">
      <c r="A38" s="64" t="n">
        <v>70848</v>
      </c>
      <c r="B38" s="58" t="inlineStr">
        <is>
          <t>BSS - EC21- vCBA CCN Backup and Recovery Method</t>
        </is>
      </c>
      <c r="C38" s="66" t="inlineStr">
        <is>
          <t>CCN</t>
        </is>
      </c>
      <c r="D38" s="65" t="inlineStr">
        <is>
          <t>32~Miscellaneous</t>
        </is>
      </c>
    </row>
    <row r="39">
      <c r="A39" s="64" t="n">
        <v>72027</v>
      </c>
      <c r="B39" s="58" t="inlineStr">
        <is>
          <t>BSS - Ericsson Charging Automation framework Offering [ECAF Assets] Ref Config - Tool</t>
        </is>
      </c>
      <c r="C39" s="66" t="inlineStr">
        <is>
          <t>CS - Multi Node</t>
        </is>
      </c>
      <c r="D39" s="65" t="inlineStr">
        <is>
          <t>33~Migration Assets</t>
        </is>
      </c>
    </row>
    <row r="40">
      <c r="A40" s="64" t="n">
        <v>72147</v>
      </c>
      <c r="B40" s="58" t="inlineStr">
        <is>
          <t>BSS - EC22 - CBA CCN Single Click - Tool</t>
        </is>
      </c>
      <c r="C40" s="65" t="inlineStr">
        <is>
          <t>CCN CBA</t>
        </is>
      </c>
      <c r="D40" s="59" t="inlineStr">
        <is>
          <t>29~Business Configuration</t>
        </is>
      </c>
    </row>
    <row r="41">
      <c r="A41" s="64" t="n">
        <v>72148</v>
      </c>
      <c r="B41" s="58" t="inlineStr">
        <is>
          <t>BSS- EC22 - CCN MITO Integration</t>
        </is>
      </c>
      <c r="C41" s="65" t="inlineStr">
        <is>
          <t>CCN</t>
        </is>
      </c>
      <c r="D41" s="59" t="inlineStr">
        <is>
          <t>29~Business Configuration</t>
        </is>
      </c>
    </row>
    <row r="42">
      <c r="A42" s="64" t="n">
        <v>72151</v>
      </c>
      <c r="B42" s="58" t="inlineStr">
        <is>
          <t>BSS - EC22 - NGCRS Network impact</t>
        </is>
      </c>
      <c r="C42" s="65" t="inlineStr">
        <is>
          <t>NGCRS</t>
        </is>
      </c>
      <c r="D42" s="65" t="inlineStr">
        <is>
          <t>33~Migration Assets</t>
        </is>
      </c>
    </row>
    <row r="43">
      <c r="A43" s="64" t="n">
        <v>72229</v>
      </c>
      <c r="B43" s="58" t="inlineStr">
        <is>
          <t>BSS-EC22- ECMS License Switching from Sentinel to NELS</t>
        </is>
      </c>
      <c r="C43" s="65" t="inlineStr">
        <is>
          <t>ECMS</t>
        </is>
      </c>
      <c r="D43" s="65" t="inlineStr">
        <is>
          <t>32~Miscellaneous</t>
        </is>
      </c>
    </row>
    <row r="44">
      <c r="A44" s="64" t="n">
        <v>72538</v>
      </c>
      <c r="B44" s="58" t="inlineStr">
        <is>
          <t>BSS- EC22- CCN CBA Installation MoP for HP Proliant Gen10</t>
        </is>
      </c>
      <c r="C44" s="65" t="inlineStr">
        <is>
          <t>CCN CBA</t>
        </is>
      </c>
      <c r="D44" s="65" t="inlineStr">
        <is>
          <t>26~Installation</t>
        </is>
      </c>
    </row>
    <row r="45">
      <c r="A45" s="64" t="n">
        <v>72698</v>
      </c>
      <c r="B45" s="58" t="inlineStr">
        <is>
          <t>BSS- EC22- CCN CBA Installation MoP for HP Proliant Gen10</t>
        </is>
      </c>
      <c r="C45" s="65" t="inlineStr">
        <is>
          <t>CCN CBA</t>
        </is>
      </c>
      <c r="D45" s="65" t="inlineStr">
        <is>
          <t>26~Installation</t>
        </is>
      </c>
    </row>
    <row r="46">
      <c r="A46" s="64" t="n">
        <v>72807</v>
      </c>
      <c r="B46" s="58" t="inlineStr">
        <is>
          <t>BSS - EC22.6 - Estimator for New Deployments – Tool</t>
        </is>
      </c>
      <c r="C46" s="65" t="inlineStr">
        <is>
          <t>CS - Multi Node</t>
        </is>
      </c>
      <c r="D46" s="65" t="inlineStr">
        <is>
          <t>26~Installation</t>
        </is>
      </c>
    </row>
    <row r="47">
      <c r="A47" s="64" t="n">
        <v>73012</v>
      </c>
      <c r="B47" s="58" t="inlineStr">
        <is>
          <t>BSS-EC22-CAF-AF Integration-MOP</t>
        </is>
      </c>
      <c r="C47" s="65" t="n"/>
      <c r="D47" s="65" t="inlineStr">
        <is>
          <t>26~Installation</t>
        </is>
      </c>
    </row>
    <row r="48">
      <c r="A48" s="64" t="n">
        <v>73013</v>
      </c>
      <c r="B48" s="58" t="inlineStr">
        <is>
          <t>BSS-EC22-vCAF-SDP Diameter Integration -MOP</t>
        </is>
      </c>
      <c r="C48" s="65" t="n"/>
      <c r="D48" s="65" t="inlineStr">
        <is>
          <t>26~Installation</t>
        </is>
      </c>
    </row>
    <row r="49">
      <c r="A49" s="67" t="n">
        <v>73321</v>
      </c>
      <c r="B49" s="68" t="inlineStr">
        <is>
          <t>BSS-EC22-Manual AIR Health Check</t>
        </is>
      </c>
      <c r="C49" s="69" t="inlineStr">
        <is>
          <t>AIR</t>
        </is>
      </c>
      <c r="D49" s="69" t="inlineStr">
        <is>
          <t>32~Miscellaneous</t>
        </is>
      </c>
    </row>
    <row r="50">
      <c r="A50" s="64" t="n">
        <v>73334</v>
      </c>
      <c r="B50" s="58" t="inlineStr">
        <is>
          <t>BSS - EC21 - OCC Health check - MOP</t>
        </is>
      </c>
      <c r="C50" s="65" t="inlineStr">
        <is>
          <t>OCC</t>
        </is>
      </c>
      <c r="D50" s="65" t="inlineStr">
        <is>
          <t>32~Miscellaneous</t>
        </is>
      </c>
    </row>
    <row r="51">
      <c r="A51" s="64" t="n">
        <v>73369</v>
      </c>
      <c r="B51" s="58" t="inlineStr">
        <is>
          <t>BSS - EC - Manual CCN Health Check_for_BM,VM</t>
        </is>
      </c>
      <c r="C51" s="65" t="inlineStr">
        <is>
          <t>CCN</t>
        </is>
      </c>
      <c r="D51" s="65" t="inlineStr">
        <is>
          <t>32~Miscellaneous</t>
        </is>
      </c>
    </row>
    <row r="52">
      <c r="A52" s="64" t="n">
        <v>73371</v>
      </c>
      <c r="B52" s="58" t="inlineStr">
        <is>
          <t>BSS - EC22 - OCC - Remote Syslog Server Integration</t>
        </is>
      </c>
      <c r="C52" s="65" t="inlineStr">
        <is>
          <t>OCC</t>
        </is>
      </c>
      <c r="D52" s="65" t="inlineStr">
        <is>
          <t>32~Miscellaneous</t>
        </is>
      </c>
    </row>
    <row r="53">
      <c r="A53" s="64" t="n">
        <v>73385</v>
      </c>
      <c r="B53" s="58" t="inlineStr">
        <is>
          <t>BSS - SWDP E2E Pipeline cEC Node-SDP Install and post healthcheck using CDD</t>
        </is>
      </c>
      <c r="C53" s="65" t="inlineStr">
        <is>
          <t>SDP</t>
        </is>
      </c>
      <c r="D53" s="65" t="inlineStr">
        <is>
          <t>26~Installation</t>
        </is>
      </c>
    </row>
    <row r="54">
      <c r="A54" s="64" t="n">
        <v>73504</v>
      </c>
      <c r="B54" s="58" t="inlineStr">
        <is>
          <t xml:space="preserve">BSS - EC 22.x - NGCRS Firmware Upgrade MOP </t>
        </is>
      </c>
      <c r="C54" s="65" t="inlineStr">
        <is>
          <t>NGCRS</t>
        </is>
      </c>
      <c r="D54" s="65" t="inlineStr">
        <is>
          <t>27~Upgrade</t>
        </is>
      </c>
    </row>
    <row r="55">
      <c r="A55" s="70" t="n">
        <v>73589</v>
      </c>
      <c r="B55" s="58" t="inlineStr">
        <is>
          <t>BSS - EC22-ECPCS-cAF-Verification-Solution-Document</t>
        </is>
      </c>
      <c r="C55" s="65" t="inlineStr">
        <is>
          <t>ECPCS</t>
        </is>
      </c>
      <c r="D55" s="59" t="inlineStr">
        <is>
          <t>32~Miscellaneous</t>
        </is>
      </c>
    </row>
    <row r="56">
      <c r="A56" s="70" t="n">
        <v>73591</v>
      </c>
      <c r="B56" s="58" t="inlineStr">
        <is>
          <t>BSS - EC22-ECPCS-cAIR-Verification-Solution-Document</t>
        </is>
      </c>
      <c r="C56" s="65" t="inlineStr">
        <is>
          <t>ECPCS</t>
        </is>
      </c>
      <c r="D56" s="59" t="inlineStr">
        <is>
          <t>32~Miscellaneous</t>
        </is>
      </c>
    </row>
    <row r="57">
      <c r="A57" s="70" t="n">
        <v>73592</v>
      </c>
      <c r="B57" s="58" t="inlineStr">
        <is>
          <t>BSS - EC22-ECPCS-cBCD-Verification-Solution-Document</t>
        </is>
      </c>
      <c r="C57" s="65" t="inlineStr">
        <is>
          <t>ECPCS</t>
        </is>
      </c>
      <c r="D57" s="59" t="inlineStr">
        <is>
          <t>32~Miscellaneous</t>
        </is>
      </c>
    </row>
    <row r="58">
      <c r="A58" s="70" t="n">
        <v>73593</v>
      </c>
      <c r="B58" s="58" t="inlineStr">
        <is>
          <t>BSS - EC22-ECPCS-cSDP-Verification-Solution-Document</t>
        </is>
      </c>
      <c r="C58" s="65" t="inlineStr">
        <is>
          <t>ECPCS</t>
        </is>
      </c>
      <c r="D58" s="59" t="inlineStr">
        <is>
          <t>32~Miscellaneous</t>
        </is>
      </c>
    </row>
    <row r="59">
      <c r="A59" s="71" t="n">
        <v>74176</v>
      </c>
      <c r="B59" s="68" t="inlineStr">
        <is>
          <t>BSS - EC22 - OCC O&amp;M IP Change Procedure Guide</t>
        </is>
      </c>
      <c r="C59" s="69" t="inlineStr">
        <is>
          <t>OCC</t>
        </is>
      </c>
      <c r="D59" s="72" t="inlineStr">
        <is>
          <t>32~Miscellaneous</t>
        </is>
      </c>
    </row>
    <row r="60">
      <c r="A60" s="71" t="n">
        <v>74379</v>
      </c>
      <c r="B60" s="68" t="inlineStr">
        <is>
          <t>BOS-GDS-DEPLOYMENT-MOP</t>
        </is>
      </c>
      <c r="C60" s="69" t="inlineStr">
        <is>
          <t>GDS</t>
        </is>
      </c>
      <c r="D60" s="72" t="inlineStr">
        <is>
          <t>32~Miscellaneous</t>
        </is>
      </c>
    </row>
    <row r="61">
      <c r="A61" s="73" t="n">
        <v>51468</v>
      </c>
      <c r="B61" s="74" t="inlineStr">
        <is>
          <t>BSS - CS18.1 - AIR Refill Unit Testing - Script</t>
        </is>
      </c>
      <c r="C61" s="74" t="inlineStr">
        <is>
          <t>AIR</t>
        </is>
      </c>
      <c r="D61" s="74" t="inlineStr">
        <is>
          <t>29~Business Configuration</t>
        </is>
      </c>
    </row>
    <row r="62">
      <c r="A62" s="73" t="n">
        <v>53747</v>
      </c>
      <c r="B62" s="74" t="inlineStr">
        <is>
          <t>BSS - EC20 - NGVS Upgrade Network Impact - Design</t>
        </is>
      </c>
      <c r="C62" s="74" t="inlineStr">
        <is>
          <t>NGVS</t>
        </is>
      </c>
      <c r="D62" s="74" t="inlineStr">
        <is>
          <t>27~Upgrade</t>
        </is>
      </c>
    </row>
    <row r="63">
      <c r="A63" s="73" t="n">
        <v>53855</v>
      </c>
      <c r="B63" s="74" t="inlineStr">
        <is>
          <t>BSS – EC 20 – ECMS 5.3.0 Upgrade Network Impact – Impact Analysis</t>
        </is>
      </c>
      <c r="C63" s="74" t="inlineStr">
        <is>
          <t>ECMS</t>
        </is>
      </c>
      <c r="D63" s="74" t="inlineStr">
        <is>
          <t>27~Upgrade</t>
        </is>
      </c>
    </row>
    <row r="64">
      <c r="A64" s="73" t="n">
        <v>53935</v>
      </c>
      <c r="B64" s="74" t="inlineStr">
        <is>
          <t>BSS - CS - AIR Function Activation Tool - Script</t>
        </is>
      </c>
      <c r="C64" s="74" t="inlineStr">
        <is>
          <t>AIR</t>
        </is>
      </c>
      <c r="D64" s="74" t="inlineStr">
        <is>
          <t>26~Installation</t>
        </is>
      </c>
    </row>
    <row r="65">
      <c r="A65" s="73" t="n">
        <v>54460</v>
      </c>
      <c r="B65" s="74" t="inlineStr">
        <is>
          <t xml:space="preserve">BSS - EC20 - SDP GR Automation - Tool </t>
        </is>
      </c>
      <c r="C65" s="74" t="inlineStr">
        <is>
          <t>SDP</t>
        </is>
      </c>
      <c r="D65" s="74" t="inlineStr">
        <is>
          <t>27~Upgrade</t>
        </is>
      </c>
    </row>
    <row r="66">
      <c r="A66" s="75" t="n">
        <v>54841</v>
      </c>
      <c r="B66" s="76" t="inlineStr">
        <is>
          <t>BSS - EC20 - OCC - Upgrade Issues and Resolution - Lessons Learned</t>
        </is>
      </c>
      <c r="C66" s="76" t="inlineStr">
        <is>
          <t>OCC</t>
        </is>
      </c>
      <c r="D66" s="76" t="inlineStr">
        <is>
          <t>27~Upgrade</t>
        </is>
      </c>
    </row>
    <row r="67">
      <c r="A67" s="73" t="n">
        <v>54872</v>
      </c>
      <c r="B67" s="74" t="inlineStr">
        <is>
          <t>BSS - CS20 - Testing - Charging System Automation Tool</t>
        </is>
      </c>
      <c r="C67" s="74" t="inlineStr">
        <is>
          <t>CS - Multi Code</t>
        </is>
      </c>
      <c r="D67" s="74" t="inlineStr">
        <is>
          <t>32~Miscellaneous</t>
        </is>
      </c>
    </row>
    <row r="68">
      <c r="A68" s="77" t="n">
        <v>56184</v>
      </c>
      <c r="B68" s="78" t="inlineStr">
        <is>
          <t>BSS - EC20 - Virtual OCC Deployment Model Change Distributed to Non Distributed model - MOP</t>
        </is>
      </c>
      <c r="C68" s="79" t="inlineStr">
        <is>
          <t>OCC</t>
        </is>
      </c>
      <c r="D68" s="74" t="inlineStr">
        <is>
          <t>26~Installation</t>
        </is>
      </c>
    </row>
    <row r="69">
      <c r="A69" s="77" t="n">
        <v>57300</v>
      </c>
      <c r="B69" s="78" t="inlineStr">
        <is>
          <t>BSS - Ericsson Charging Automation framework Offering [ECAF HC Assets] ECMS HealthCheck - Tool</t>
        </is>
      </c>
      <c r="C69" s="79" t="n"/>
      <c r="D69" s="79" t="inlineStr">
        <is>
          <t>32~Miscellaneous</t>
        </is>
      </c>
    </row>
    <row r="70">
      <c r="A70" s="77" t="n">
        <v>58474</v>
      </c>
      <c r="B70" s="78" t="inlineStr">
        <is>
          <t>BSS - EC20 - Feature Activation Impact Analysis &amp; Implementation procedure - NIR</t>
        </is>
      </c>
      <c r="C70" s="79" t="inlineStr">
        <is>
          <t>CS - Multi Node</t>
        </is>
      </c>
      <c r="D70" s="79" t="inlineStr">
        <is>
          <t>26~Installation</t>
        </is>
      </c>
    </row>
    <row r="71">
      <c r="A71" s="77" t="n">
        <v>59433</v>
      </c>
      <c r="B71" s="78" t="inlineStr">
        <is>
          <t>BSS - EC20 - ECMS NFNT Test Object List</t>
        </is>
      </c>
      <c r="C71" s="79" t="n"/>
      <c r="D71" s="79" t="inlineStr">
        <is>
          <t>32~Miscellaneous</t>
        </is>
      </c>
    </row>
    <row r="72">
      <c r="A72" s="77" t="n">
        <v>59434</v>
      </c>
      <c r="B72" s="78" t="inlineStr">
        <is>
          <t>BSS - EC20 - NGVS NFNT Test Object List</t>
        </is>
      </c>
      <c r="C72" s="79" t="inlineStr">
        <is>
          <t>NGVS</t>
        </is>
      </c>
      <c r="D72" s="79" t="inlineStr">
        <is>
          <t>32~Miscellaneous</t>
        </is>
      </c>
    </row>
    <row r="73">
      <c r="A73" s="77" t="n">
        <v>59435</v>
      </c>
      <c r="B73" s="78" t="inlineStr">
        <is>
          <t>BSS - EC20 - SDP NFNT Test Object List</t>
        </is>
      </c>
      <c r="C73" s="79" t="n"/>
      <c r="D73" s="79" t="inlineStr">
        <is>
          <t>32~Miscellaneous</t>
        </is>
      </c>
    </row>
    <row r="74">
      <c r="A74" s="77" t="n">
        <v>59437</v>
      </c>
      <c r="B74" s="78" t="inlineStr">
        <is>
          <t>BSS - EC20 - OCC NFNT Distributed Test Object List</t>
        </is>
      </c>
      <c r="C74" s="79" t="n"/>
      <c r="D74" s="79" t="inlineStr">
        <is>
          <t>32~Miscellaneous</t>
        </is>
      </c>
    </row>
    <row r="75">
      <c r="A75" s="77" t="n">
        <v>59448</v>
      </c>
      <c r="B75" s="78" t="inlineStr">
        <is>
          <t>BSS - EC20 - IVR - ICP version - Upgrade MOP for BM</t>
        </is>
      </c>
      <c r="C75" s="79" t="inlineStr">
        <is>
          <t>IVR</t>
        </is>
      </c>
      <c r="D75" s="79" t="inlineStr">
        <is>
          <t>27~Upgrade</t>
        </is>
      </c>
    </row>
    <row r="76">
      <c r="A76" s="77" t="n">
        <v>59450</v>
      </c>
      <c r="B76" s="78" t="inlineStr">
        <is>
          <t>BSS - EC20 - VXML IVR Customer Questionnare</t>
        </is>
      </c>
      <c r="C76" s="79" t="inlineStr">
        <is>
          <t>VXML</t>
        </is>
      </c>
      <c r="D76" s="79" t="inlineStr">
        <is>
          <t>33~Migration Assets</t>
        </is>
      </c>
    </row>
    <row r="77">
      <c r="A77" s="77" t="n">
        <v>59966</v>
      </c>
      <c r="B77" s="78" t="inlineStr">
        <is>
          <t>BSS-EC20-NGCRS-Disabling of Unused Network Interfaces</t>
        </is>
      </c>
      <c r="C77" s="79" t="inlineStr">
        <is>
          <t>NGCRS</t>
        </is>
      </c>
      <c r="D77" s="79" t="inlineStr">
        <is>
          <t>32~Miscellaneous</t>
        </is>
      </c>
    </row>
    <row r="78">
      <c r="A78" s="77" t="n">
        <v>60235</v>
      </c>
      <c r="B78" s="78" t="inlineStr">
        <is>
          <t>BSS - EC20 - NGVS User Acceptance Testing</t>
        </is>
      </c>
      <c r="C78" s="80" t="inlineStr">
        <is>
          <t>NGVS</t>
        </is>
      </c>
      <c r="D78" s="79" t="inlineStr">
        <is>
          <t>32~Miscellaneous</t>
        </is>
      </c>
    </row>
    <row r="79">
      <c r="A79" s="77" t="n">
        <v>60295</v>
      </c>
      <c r="B79" s="78" t="inlineStr">
        <is>
          <t>BSS - EC21 - Testing - EC Generic TOL</t>
        </is>
      </c>
      <c r="C79" s="79" t="inlineStr">
        <is>
          <t>CS- Multi Node</t>
        </is>
      </c>
      <c r="D79" s="79" t="inlineStr">
        <is>
          <t>32~Miscellaneous</t>
        </is>
      </c>
    </row>
    <row r="80">
      <c r="A80" s="77" t="n">
        <v>61218</v>
      </c>
      <c r="B80" s="78" t="inlineStr">
        <is>
          <t>BSS - EC20 - IVR - ICP version - Upgrade MOP for BM</t>
        </is>
      </c>
      <c r="C80" s="80" t="inlineStr">
        <is>
          <t>IVR</t>
        </is>
      </c>
      <c r="D80" s="79" t="inlineStr">
        <is>
          <t>27~Upgrade</t>
        </is>
      </c>
    </row>
    <row r="81">
      <c r="A81" s="77" t="n">
        <v>62295</v>
      </c>
      <c r="B81" s="78" t="inlineStr">
        <is>
          <t>BSS-EC22-ECMS-ECMS Capacity Enhancement</t>
        </is>
      </c>
      <c r="C81" s="79" t="inlineStr">
        <is>
          <t>ECMS</t>
        </is>
      </c>
      <c r="D81" s="79" t="inlineStr">
        <is>
          <t>32~Miscellaneous</t>
        </is>
      </c>
    </row>
    <row r="82">
      <c r="A82" s="77" t="n">
        <v>63232</v>
      </c>
      <c r="B82" s="78" t="inlineStr">
        <is>
          <t>BSS - EC20 - OCC Cache Clearing Single Click tool</t>
        </is>
      </c>
      <c r="C82" s="79" t="inlineStr">
        <is>
          <t>OCC</t>
        </is>
      </c>
      <c r="D82" s="76" t="inlineStr">
        <is>
          <t>32~Miscellaneous</t>
        </is>
      </c>
    </row>
    <row r="83">
      <c r="A83" s="60" t="n">
        <v>54651</v>
      </c>
      <c r="B83" s="60" t="inlineStr">
        <is>
          <t>BSS-EC20-NGCRS-Root FS Backup And Restore on NFS for RHEL7.4</t>
        </is>
      </c>
      <c r="C83" s="81" t="inlineStr">
        <is>
          <t>NGCRS</t>
        </is>
      </c>
      <c r="D83" s="82" t="inlineStr">
        <is>
          <t>26~Installation</t>
        </is>
      </c>
    </row>
    <row r="84">
      <c r="A84" s="60" t="n">
        <v>54838</v>
      </c>
      <c r="B84" s="60" t="inlineStr">
        <is>
          <t>BSS-EC20-AIR ATP Document</t>
        </is>
      </c>
      <c r="C84" s="81" t="inlineStr">
        <is>
          <t>AIR</t>
        </is>
      </c>
      <c r="D84" s="59" t="inlineStr">
        <is>
          <t>32~Miscellaneous</t>
        </is>
      </c>
    </row>
    <row r="85">
      <c r="A85" s="60" t="n">
        <v>54920</v>
      </c>
      <c r="B85" s="60" t="inlineStr">
        <is>
          <t>BSS-EC20-Community Charging Implementation-MOP</t>
        </is>
      </c>
      <c r="C85" s="81" t="inlineStr">
        <is>
          <t>SDP</t>
        </is>
      </c>
      <c r="D85" s="82" t="inlineStr">
        <is>
          <t>26~Installation</t>
        </is>
      </c>
    </row>
    <row r="86">
      <c r="A86" s="60" t="n">
        <v>55001</v>
      </c>
      <c r="B86" s="60" t="inlineStr">
        <is>
          <t>BSS-EC20-AIR SW Update Procedure for BareMetal</t>
        </is>
      </c>
      <c r="C86" s="81" t="inlineStr">
        <is>
          <t>AIR</t>
        </is>
      </c>
      <c r="D86" s="83" t="inlineStr">
        <is>
          <t>27~Upgrade</t>
        </is>
      </c>
    </row>
    <row r="87">
      <c r="A87" s="60" t="n">
        <v>55399</v>
      </c>
      <c r="B87" s="60" t="inlineStr">
        <is>
          <t>BSS - EC - AIR NFS Backup and Restoration Procedure in Virtualized Environment-MOP</t>
        </is>
      </c>
      <c r="C87" s="81" t="inlineStr">
        <is>
          <t>AIR</t>
        </is>
      </c>
      <c r="D87" s="83" t="inlineStr">
        <is>
          <t>26~Installation</t>
        </is>
      </c>
    </row>
    <row r="88">
      <c r="A88" s="60" t="n">
        <v>55417</v>
      </c>
      <c r="B88" s="60" t="inlineStr">
        <is>
          <t>BSS-EC20.1-NGVS INSTALLATION_INTEGRATION MOP</t>
        </is>
      </c>
      <c r="C88" s="81" t="inlineStr">
        <is>
          <t>NGVS</t>
        </is>
      </c>
      <c r="D88" s="83" t="inlineStr">
        <is>
          <t>26~Installation</t>
        </is>
      </c>
    </row>
    <row r="89">
      <c r="A89" s="60" t="n">
        <v>63787</v>
      </c>
      <c r="B89" s="60" t="inlineStr">
        <is>
          <t>BSS EC- AIR BCD Upgrade  - Tool</t>
        </is>
      </c>
      <c r="C89" s="81" t="inlineStr">
        <is>
          <t>AIR</t>
        </is>
      </c>
      <c r="D89" s="83" t="inlineStr">
        <is>
          <t>27~Upgrade</t>
        </is>
      </c>
    </row>
    <row r="90">
      <c r="A90" s="60" t="n">
        <v>74980</v>
      </c>
      <c r="B90" s="60" t="inlineStr">
        <is>
          <t>BSS - EC22.9 - Estimator for New Deployments - Tool</t>
        </is>
      </c>
      <c r="C90" s="83" t="inlineStr">
        <is>
          <t>CS- Multi Node</t>
        </is>
      </c>
      <c r="D90" s="59" t="inlineStr">
        <is>
          <t>32~Miscellaneous</t>
        </is>
      </c>
    </row>
    <row r="91">
      <c r="A91" s="60" t="n">
        <v>74981</v>
      </c>
      <c r="B91" s="60" t="inlineStr">
        <is>
          <t>BSS - EC22.9 - Estimator Upgrade - Tool</t>
        </is>
      </c>
      <c r="C91" s="83" t="inlineStr">
        <is>
          <t>CS- Multi Node</t>
        </is>
      </c>
      <c r="D91" s="59" t="inlineStr">
        <is>
          <t>32~Miscellaneous</t>
        </is>
      </c>
    </row>
    <row r="92">
      <c r="A92" s="60" t="n">
        <v>76206</v>
      </c>
      <c r="B92" s="60" t="inlineStr">
        <is>
          <t>BSS - EC22 - SDP Backup and Restore Virtual Deployment - MOP</t>
        </is>
      </c>
      <c r="C92" s="81" t="inlineStr">
        <is>
          <t>SDP</t>
        </is>
      </c>
      <c r="D92" s="83" t="inlineStr">
        <is>
          <t>26~Installation</t>
        </is>
      </c>
    </row>
    <row r="93">
      <c r="A93" s="60" t="n">
        <v>76733</v>
      </c>
      <c r="B93" s="60" t="inlineStr">
        <is>
          <t>BSS - EC22 - SDP ICP 2304 on BM SW Update MOP content generation</t>
        </is>
      </c>
      <c r="C93" s="81" t="inlineStr">
        <is>
          <t>SDP</t>
        </is>
      </c>
      <c r="D93" s="83" t="inlineStr">
        <is>
          <t>27~Upgrade</t>
        </is>
      </c>
    </row>
    <row r="94">
      <c r="A94" s="60" t="n">
        <v>77070</v>
      </c>
      <c r="B94" s="60" t="inlineStr">
        <is>
          <t>BSS-EC-22.X-NGCRS Upgrade UAT Script Usage Guide</t>
        </is>
      </c>
      <c r="C94" s="81" t="inlineStr">
        <is>
          <t>NGCRS</t>
        </is>
      </c>
      <c r="D94" s="83" t="inlineStr">
        <is>
          <t>27~Upgrade</t>
        </is>
      </c>
    </row>
  </sheetData>
  <mergeCells count="1">
    <mergeCell ref="A1:D1"/>
  </mergeCells>
  <conditionalFormatting sqref="A3:A94">
    <cfRule type="duplicateValues" priority="1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4.5"/>
  <cols>
    <col width="6.7265625" bestFit="1" customWidth="1" min="1" max="1"/>
    <col width="88.6328125" bestFit="1" customWidth="1" min="2" max="2"/>
    <col width="55.453125" bestFit="1" customWidth="1" min="6" max="6"/>
  </cols>
  <sheetData>
    <row r="1">
      <c r="A1" s="61" t="inlineStr">
        <is>
          <t>Asset Id</t>
        </is>
      </c>
      <c r="B1" s="62" t="inlineStr">
        <is>
          <t>Asset Name</t>
        </is>
      </c>
      <c r="E1" s="61" t="inlineStr">
        <is>
          <t>Asset Id</t>
        </is>
      </c>
      <c r="F1" s="62" t="inlineStr">
        <is>
          <t>Asset Name</t>
        </is>
      </c>
    </row>
    <row r="2">
      <c r="A2" s="35" t="n">
        <v>55159</v>
      </c>
      <c r="B2" t="inlineStr">
        <is>
          <t>BSS - Ericsson Charging Automation framework Offering [ECAF Assets] CCN CBA ( Vmware) Installation Virtual SNI -Tool</t>
        </is>
      </c>
      <c r="E2" s="35" t="n">
        <v>77624</v>
      </c>
      <c r="F2" t="inlineStr">
        <is>
          <t>EEA 4 - Spotfire AutoRefresh Data Guide</t>
        </is>
      </c>
    </row>
    <row r="3">
      <c r="A3" s="35" t="n">
        <v>52210</v>
      </c>
      <c r="B3" t="inlineStr">
        <is>
          <t>BSS - Ericsson Charging Automation framework Offering [ECAF Assets] OCC Installation Virtual SNI -Tool</t>
        </is>
      </c>
      <c r="E3" s="35" t="n">
        <v>72576</v>
      </c>
      <c r="F3" t="inlineStr">
        <is>
          <t>Automation for EOC &amp; ECM Dormancy MOP execution</t>
        </is>
      </c>
    </row>
    <row r="4">
      <c r="A4" s="35" t="n">
        <v>54562</v>
      </c>
      <c r="B4" t="inlineStr">
        <is>
          <t>BSS - EC20 - Feature Activation Impact  Analysis - NIR</t>
        </is>
      </c>
      <c r="E4" s="35" t="n">
        <v>78438</v>
      </c>
      <c r="F4" t="inlineStr">
        <is>
          <t>DB Partitions Expiry Check</t>
        </is>
      </c>
    </row>
    <row r="5">
      <c r="A5" s="35" t="n">
        <v>73862</v>
      </c>
      <c r="B5" t="inlineStr">
        <is>
          <t>BSS - CSS Healtcheck Connections for HC scripts</t>
        </is>
      </c>
      <c r="E5" s="35" t="n">
        <v>69658</v>
      </c>
      <c r="F5" t="inlineStr">
        <is>
          <t>EOC-ECM Data Cleanup Automation For Prepaid Magenta</t>
        </is>
      </c>
    </row>
    <row r="6">
      <c r="A6" s="35" t="n">
        <v>62397</v>
      </c>
      <c r="B6" t="inlineStr">
        <is>
          <t>BSS - EC22 - Estimator Upgrade - Tool</t>
        </is>
      </c>
      <c r="E6" s="35" t="n">
        <v>69599</v>
      </c>
      <c r="F6" t="inlineStr">
        <is>
          <t>FCT Cleanup Automation Tool</t>
        </is>
      </c>
    </row>
    <row r="7">
      <c r="A7" s="35" t="n">
        <v>75013</v>
      </c>
      <c r="B7" t="inlineStr">
        <is>
          <t>MOP Adding MSC (GT) in CCN</t>
        </is>
      </c>
      <c r="E7" s="35" t="n">
        <v>71820</v>
      </c>
      <c r="F7" t="inlineStr">
        <is>
          <t>Spectrum SSL Cert Renewal - Automation</t>
        </is>
      </c>
    </row>
    <row r="8">
      <c r="A8" s="35" t="n">
        <v>52201</v>
      </c>
      <c r="B8" t="inlineStr">
        <is>
          <t>BSS - Ericsson Charging Automation framework Offering [ECAF Assets] AIR Installation  Bare Metal SNI- Tool</t>
        </is>
      </c>
      <c r="E8" s="35" t="n">
        <v>71821</v>
      </c>
      <c r="F8" t="inlineStr">
        <is>
          <t>Vertex SSL Cert Renewal - Automation</t>
        </is>
      </c>
    </row>
    <row r="9">
      <c r="A9" s="35" t="n">
        <v>63478</v>
      </c>
      <c r="B9" t="inlineStr">
        <is>
          <t>CCN CBA Scheduled BRM Backup</t>
        </is>
      </c>
      <c r="E9" s="35" t="n">
        <v>72193</v>
      </c>
      <c r="F9" t="inlineStr">
        <is>
          <t>BSS - EB23 - Testing - Ericsson Billing Automation Tool with ESSVT</t>
        </is>
      </c>
    </row>
    <row r="10">
      <c r="A10" s="35" t="n">
        <v>52160</v>
      </c>
      <c r="B10" t="inlineStr">
        <is>
          <t>BSS - EC20 - SDP VoLTE &amp; VoWIFI SDP BC - LLD</t>
        </is>
      </c>
      <c r="E10" s="35" t="n">
        <v>73383</v>
      </c>
      <c r="F10" t="inlineStr">
        <is>
          <t>BSS - EB - DMF Upgrade Automation - Tool</t>
        </is>
      </c>
    </row>
    <row r="11">
      <c r="A11" s="35" t="n">
        <v>55807</v>
      </c>
      <c r="B11" t="inlineStr">
        <is>
          <t>BSS - EC20.1 - ECMS_SOLARIS TO LINUX MIGRATION - MOP</t>
        </is>
      </c>
      <c r="E11" s="35" t="n">
        <v>72244</v>
      </c>
      <c r="F11" t="inlineStr">
        <is>
          <t>Geocodeupdater_Tool_Automation</t>
        </is>
      </c>
    </row>
    <row r="12">
      <c r="A12" s="35" t="n">
        <v>56268</v>
      </c>
      <c r="B12" t="inlineStr">
        <is>
          <t>BSS - Ericsson Charging Automation framework Offering [ECAF HC Assets] OCC HealthCheck - Tool</t>
        </is>
      </c>
      <c r="E12" s="35" t="n">
        <v>72243</v>
      </c>
      <c r="F12" t="inlineStr">
        <is>
          <t>SNMP Installation and Platform Upgradation</t>
        </is>
      </c>
    </row>
    <row r="13">
      <c r="A13" s="35" t="n">
        <v>1303</v>
      </c>
      <c r="B13" t="inlineStr">
        <is>
          <t>BSS - CS18 - CCN Upgrade Network Impact Report - Impact Analysis</t>
        </is>
      </c>
      <c r="E13" s="35" t="n">
        <v>79945</v>
      </c>
      <c r="F13" t="inlineStr">
        <is>
          <t>Automation of AWS EC2 Instance Start Stop</t>
        </is>
      </c>
    </row>
    <row r="14">
      <c r="A14" s="35" t="n">
        <v>71033</v>
      </c>
      <c r="B14" t="inlineStr">
        <is>
          <t>BSS - EC22 - SDP Link creation in CBA CCN</t>
        </is>
      </c>
    </row>
    <row r="15">
      <c r="A15" s="35" t="n">
        <v>59430</v>
      </c>
      <c r="B15" t="inlineStr">
        <is>
          <t>BSS - EC20 - EC PCS SDP Low Level Design Document</t>
        </is>
      </c>
    </row>
    <row r="16">
      <c r="A16" s="35" t="n">
        <v>79855</v>
      </c>
      <c r="B16" t="inlineStr">
        <is>
          <t>BSS - EC - MOP Containerized EC ansible Health Check Script - cSDP,cAIR,cAF</t>
        </is>
      </c>
    </row>
    <row r="17">
      <c r="A17" s="35" t="n">
        <v>73431</v>
      </c>
      <c r="B17" t="inlineStr">
        <is>
          <t>MOP - EC-NMT5.1 ICP22-06 Installation</t>
        </is>
      </c>
    </row>
    <row r="18">
      <c r="A18" s="35" t="n">
        <v>52660</v>
      </c>
      <c r="B18" t="inlineStr">
        <is>
          <t>BSS - EC - SDP - AIR Bulk Integration Solution - LLD</t>
        </is>
      </c>
    </row>
    <row r="19">
      <c r="A19" s="35" t="n">
        <v>72227</v>
      </c>
      <c r="B19" t="inlineStr">
        <is>
          <t>BSS -EC22.4-cCAF- Scheduled backups- MOP</t>
        </is>
      </c>
    </row>
    <row r="20">
      <c r="A20" s="35" t="n">
        <v>74279</v>
      </c>
      <c r="B20" t="inlineStr">
        <is>
          <t>BSS - EC20.1 - VCAF CERTIFICATE VALDITY PERIOD UPDATE AND RE-ISSUE - MOP</t>
        </is>
      </c>
    </row>
    <row r="21">
      <c r="A21" s="35" t="n">
        <v>80183</v>
      </c>
      <c r="B21" t="inlineStr">
        <is>
          <t>BSS-EC-SDP-MANUAL OFFER DUMP SCRIPT</t>
        </is>
      </c>
    </row>
    <row r="22">
      <c r="A22" s="35" t="n">
        <v>73433</v>
      </c>
      <c r="B22" t="inlineStr">
        <is>
          <t>MOP - AIR4.0 R51A ICP22-06 Installation</t>
        </is>
      </c>
    </row>
    <row r="23">
      <c r="A23" s="35" t="n">
        <v>69532</v>
      </c>
      <c r="B23" t="inlineStr">
        <is>
          <t>BSS Multi-node Global Estimator - Tool</t>
        </is>
      </c>
    </row>
    <row r="24">
      <c r="A24" s="35" t="n">
        <v>55172</v>
      </c>
      <c r="B24" t="inlineStr">
        <is>
          <t>BSS - EC - SDP GeoRedundancy Active-Active Solution- LLD</t>
        </is>
      </c>
    </row>
    <row r="25">
      <c r="A25" s="35" t="n">
        <v>52203</v>
      </c>
      <c r="B25" t="inlineStr">
        <is>
          <t>BSS - Charging system Automation framework Offering [ECAF Assets] NGVS Installation Bare Metal SNI  - Tool</t>
        </is>
      </c>
    </row>
    <row r="26">
      <c r="A26" s="35" t="n">
        <v>51419</v>
      </c>
      <c r="B26" t="inlineStr">
        <is>
          <t>BSS - CS18.1 - ECMS Upgrade for Bare Metal Deployment - MOP</t>
        </is>
      </c>
    </row>
    <row r="27">
      <c r="A27" s="35" t="n">
        <v>59431</v>
      </c>
      <c r="B27" t="inlineStr">
        <is>
          <t>BSS - EC20 - EC PCS AIR Low Level Design Document</t>
        </is>
      </c>
    </row>
    <row r="28">
      <c r="A28" s="35" t="n">
        <v>54735</v>
      </c>
      <c r="B28" t="inlineStr">
        <is>
          <t>BSS - EC20 - ECNMT ATP Document - TOL</t>
        </is>
      </c>
    </row>
    <row r="29">
      <c r="A29" s="35" t="n">
        <v>71765</v>
      </c>
      <c r="B29" t="inlineStr">
        <is>
          <t>EC - MoP SDP NeLS_Integration</t>
        </is>
      </c>
    </row>
    <row r="30">
      <c r="A30" s="35" t="n">
        <v>59423</v>
      </c>
      <c r="B30" t="inlineStr">
        <is>
          <t>BSS - EC20 - ECMS Low Level Design Document</t>
        </is>
      </c>
    </row>
    <row r="31">
      <c r="A31" s="35" t="n">
        <v>73119</v>
      </c>
      <c r="B31" t="inlineStr">
        <is>
          <t xml:space="preserve">BSS - EC 22.x - NGCRS Firmware Upgrade MOP </t>
        </is>
      </c>
    </row>
    <row r="32">
      <c r="A32" s="35" t="n">
        <v>59422</v>
      </c>
      <c r="B32" t="inlineStr">
        <is>
          <t>BSS - EC20 - ECMS Firmware Upgrade MOP</t>
        </is>
      </c>
    </row>
    <row r="33">
      <c r="A33" s="35" t="n">
        <v>51462</v>
      </c>
      <c r="B33" t="inlineStr">
        <is>
          <t>BSS - EC20 - OCC Handover to Operation -  Template</t>
        </is>
      </c>
    </row>
    <row r="34">
      <c r="A34" s="35" t="n">
        <v>72258</v>
      </c>
      <c r="B34" t="inlineStr">
        <is>
          <t>BOSS-EC22-cCAF Site Disaster Recovery-MOP</t>
        </is>
      </c>
    </row>
    <row r="35">
      <c r="A35" s="35" t="n">
        <v>66057</v>
      </c>
      <c r="B35" t="inlineStr">
        <is>
          <t>EC22 NGVS Healthcheck</t>
        </is>
      </c>
    </row>
    <row r="36">
      <c r="A36" s="35" t="n">
        <v>65857</v>
      </c>
      <c r="B36" t="inlineStr">
        <is>
          <t>EC22 MoP ECNMT Upgrade from 3.2 to 4.4</t>
        </is>
      </c>
    </row>
    <row r="37">
      <c r="A37" s="35" t="n">
        <v>51408</v>
      </c>
      <c r="B37" t="inlineStr">
        <is>
          <t>BSS - CS18.1 - ECMS Integrations - Guide</t>
        </is>
      </c>
    </row>
    <row r="38">
      <c r="A38" s="35" t="n">
        <v>73432</v>
      </c>
      <c r="B38" t="inlineStr">
        <is>
          <t>MOP - SDP5 R37A ICP22-06 Installation</t>
        </is>
      </c>
    </row>
    <row r="39">
      <c r="A39" s="35" t="n">
        <v>70256</v>
      </c>
      <c r="B39" t="inlineStr">
        <is>
          <t>OCC Clean Cache AF</t>
        </is>
      </c>
    </row>
    <row r="40">
      <c r="A40" s="35" t="n">
        <v>73379</v>
      </c>
      <c r="B40" t="inlineStr">
        <is>
          <t>MOP - Load SDP Information into CCN Manager Tool in CCNs</t>
        </is>
      </c>
    </row>
    <row r="41">
      <c r="A41" s="35" t="n">
        <v>78261</v>
      </c>
      <c r="B41" t="inlineStr">
        <is>
          <t>BSS - EC - NGVS Single Click Tool</t>
        </is>
      </c>
    </row>
    <row r="42">
      <c r="A42" s="35" t="n">
        <v>70065</v>
      </c>
      <c r="B42" t="inlineStr">
        <is>
          <t>BSS - EC21 - Advanced Load Balancing HLD</t>
        </is>
      </c>
    </row>
    <row r="43">
      <c r="A43" s="35" t="n">
        <v>72151</v>
      </c>
      <c r="B43" t="inlineStr">
        <is>
          <t>BSS - SWDP Pipeline Verification-cESSVT Nodes Installation and Integration with EC</t>
        </is>
      </c>
    </row>
    <row r="44">
      <c r="A44" s="35" t="n">
        <v>71396</v>
      </c>
      <c r="B44" t="inlineStr">
        <is>
          <t>EC21 AIR HealthCheck</t>
        </is>
      </c>
    </row>
    <row r="45">
      <c r="A45" s="35" t="n">
        <v>71268</v>
      </c>
      <c r="B45" t="inlineStr">
        <is>
          <t>EC21 SDP HealthCheck</t>
        </is>
      </c>
    </row>
    <row r="46">
      <c r="A46" s="35" t="n">
        <v>54838</v>
      </c>
      <c r="B46" t="inlineStr">
        <is>
          <t>BSS-EC20-AIR ATP Document</t>
        </is>
      </c>
    </row>
    <row r="47">
      <c r="A47" s="35" t="n">
        <v>55250</v>
      </c>
      <c r="B47" t="inlineStr">
        <is>
          <t>BSS -EC20 - SDP Notification to External System Over HTTP -MOP</t>
        </is>
      </c>
    </row>
    <row r="48">
      <c r="A48" s="35" t="n">
        <v>54396</v>
      </c>
      <c r="B48" t="inlineStr">
        <is>
          <t>BSS - EC20 - Simulator Installation Procedure - MOP</t>
        </is>
      </c>
    </row>
    <row r="49">
      <c r="A49" s="35" t="n">
        <v>71986</v>
      </c>
      <c r="B49" t="inlineStr">
        <is>
          <t>BOS - cEM - CAF Traffic Monitoring</t>
        </is>
      </c>
    </row>
    <row r="50">
      <c r="A50" s="35" t="n">
        <v>80556</v>
      </c>
      <c r="B50" t="inlineStr">
        <is>
          <t>BSS - Containerized Ericsson Charging Automation framework Offering [cECAF] cSDP Installation  - Tool</t>
        </is>
      </c>
    </row>
    <row r="51">
      <c r="A51" s="35" t="n">
        <v>72776</v>
      </c>
      <c r="B51" t="inlineStr">
        <is>
          <t>BSS - EC - Manual CCN Health Check_for_BM,VM</t>
        </is>
      </c>
    </row>
    <row r="52">
      <c r="A52" s="35" t="n">
        <v>72735</v>
      </c>
      <c r="B52" t="inlineStr">
        <is>
          <t>BSS-EC22-Manual SDP Health Check</t>
        </is>
      </c>
    </row>
    <row r="53">
      <c r="A53" s="35" t="n">
        <v>60709</v>
      </c>
      <c r="B53" t="inlineStr">
        <is>
          <t>BSS-EC20-CBACCN_Counter_Script</t>
        </is>
      </c>
    </row>
    <row r="54">
      <c r="A54" s="35" t="n">
        <v>72758</v>
      </c>
      <c r="B54" t="inlineStr">
        <is>
          <t>BSS-EC22-Manual AIR Health Check</t>
        </is>
      </c>
    </row>
    <row r="55">
      <c r="A55" s="35" t="n">
        <v>78625</v>
      </c>
      <c r="B55" t="inlineStr">
        <is>
          <t>BSS - N365 - Asset - Cook Book - Asset List</t>
        </is>
      </c>
    </row>
    <row r="56">
      <c r="A56" s="64" t="n"/>
      <c r="B56" s="58" t="n"/>
    </row>
    <row r="57">
      <c r="A57" s="73" t="n"/>
      <c r="B57" s="74" t="n"/>
    </row>
    <row r="58">
      <c r="A58" s="60" t="n"/>
      <c r="B58" s="60" t="n"/>
    </row>
    <row r="59">
      <c r="A59" s="63" t="n"/>
      <c r="B59" s="59" t="n"/>
    </row>
    <row r="60">
      <c r="A60" s="63" t="n"/>
      <c r="B60" s="59" t="n"/>
    </row>
    <row r="61">
      <c r="A61" s="64" t="n"/>
      <c r="B61" s="58" t="n"/>
    </row>
    <row r="62">
      <c r="A62" s="77" t="n"/>
      <c r="B62" s="78" t="n"/>
    </row>
    <row r="63">
      <c r="A63" s="63" t="n"/>
      <c r="B63" s="59" t="n"/>
    </row>
    <row r="64">
      <c r="A64" s="63" t="n"/>
      <c r="B64" s="59" t="n"/>
    </row>
    <row r="65">
      <c r="A65" s="63" t="n"/>
      <c r="B65" s="59" t="n"/>
    </row>
    <row r="66">
      <c r="A66" s="73" t="n"/>
      <c r="B66" s="74" t="n"/>
    </row>
    <row r="67">
      <c r="A67" s="64" t="n"/>
      <c r="B67" s="58" t="n"/>
    </row>
    <row r="68">
      <c r="A68" s="73" t="n"/>
      <c r="B68" s="74" t="n"/>
    </row>
    <row r="69">
      <c r="A69" s="64" t="n"/>
      <c r="B69" s="58" t="n"/>
    </row>
    <row r="70">
      <c r="A70" s="60" t="n"/>
      <c r="B70" s="60" t="n"/>
    </row>
    <row r="71">
      <c r="A71" s="64" t="n"/>
      <c r="B71" s="58" t="n"/>
    </row>
    <row r="72">
      <c r="A72" s="73" t="n"/>
      <c r="B72" s="74" t="n"/>
    </row>
    <row r="73">
      <c r="A73" s="73" t="n"/>
      <c r="B73" s="74" t="n"/>
    </row>
    <row r="74">
      <c r="A74" s="63" t="n"/>
      <c r="B74" s="59" t="n"/>
    </row>
    <row r="75">
      <c r="A75" s="63" t="n"/>
      <c r="B75" s="59" t="n"/>
    </row>
    <row r="76">
      <c r="A76" s="64" t="n"/>
      <c r="B76" s="58" t="n"/>
    </row>
    <row r="77">
      <c r="A77" s="60" t="n"/>
      <c r="B77" s="60" t="n"/>
    </row>
    <row r="78">
      <c r="A78" s="60" t="n"/>
      <c r="B78" s="60" t="n"/>
    </row>
    <row r="79">
      <c r="A79" s="73" t="n"/>
      <c r="B79" s="74" t="n"/>
    </row>
    <row r="80">
      <c r="A80" s="75" t="n"/>
      <c r="B80" s="76" t="n"/>
    </row>
    <row r="81">
      <c r="A81" s="64" t="n"/>
      <c r="B81" s="58" t="n"/>
    </row>
    <row r="82">
      <c r="A82" s="60" t="n"/>
      <c r="B82" s="60" t="n"/>
    </row>
    <row r="83">
      <c r="A83" s="60" t="n"/>
      <c r="B83" s="60" t="n"/>
    </row>
    <row r="84">
      <c r="A84" s="60" t="n"/>
      <c r="B84" s="60" t="n"/>
    </row>
    <row r="85">
      <c r="A85" s="64" t="n"/>
      <c r="B85" s="58" t="n"/>
    </row>
    <row r="86">
      <c r="A86" s="73" t="n"/>
      <c r="B86" s="74" t="n"/>
    </row>
    <row r="87">
      <c r="A87" s="60" t="n"/>
      <c r="B87" s="60" t="n"/>
    </row>
    <row r="88">
      <c r="A88" s="60" t="n"/>
      <c r="B88" s="60" t="n"/>
    </row>
    <row r="89">
      <c r="A89" s="60" t="n"/>
      <c r="B89" s="60" t="n"/>
    </row>
    <row r="90">
      <c r="A90" s="60" t="n"/>
      <c r="B90" s="60" t="n"/>
    </row>
    <row r="91">
      <c r="A91" s="64" t="n"/>
      <c r="B91" s="58" t="n"/>
    </row>
    <row r="92">
      <c r="A92" s="60" t="n"/>
      <c r="B92" s="60" t="n"/>
    </row>
    <row r="93">
      <c r="A93" s="60" t="n"/>
      <c r="B93" s="60" t="n"/>
    </row>
    <row r="94">
      <c r="A94" s="60" t="n"/>
      <c r="B94" s="60" t="n"/>
    </row>
    <row r="95">
      <c r="A95" s="60" t="n"/>
      <c r="B95" s="60" t="n"/>
    </row>
    <row r="96">
      <c r="A96" s="64" t="n"/>
      <c r="B96" s="58" t="n"/>
    </row>
    <row r="97">
      <c r="A97" s="64" t="n"/>
      <c r="B97" s="58" t="n"/>
    </row>
    <row r="98">
      <c r="A98" s="77" t="n"/>
      <c r="B98" s="78" t="n"/>
    </row>
    <row r="99">
      <c r="A99" s="64" t="n"/>
      <c r="B99" s="58" t="n"/>
    </row>
    <row r="100">
      <c r="A100" s="60" t="n"/>
      <c r="B100" s="60" t="n"/>
    </row>
    <row r="101">
      <c r="A101" s="64" t="n"/>
      <c r="B101" s="58" t="n"/>
    </row>
    <row r="102">
      <c r="A102" s="64" t="n"/>
      <c r="B102" s="58" t="n"/>
    </row>
    <row r="103">
      <c r="A103" s="64" t="n"/>
      <c r="B103" s="58" t="n"/>
    </row>
    <row r="104">
      <c r="A104" s="64" t="n"/>
      <c r="B104" s="58" t="n"/>
    </row>
    <row r="105">
      <c r="A105" s="64" t="n"/>
      <c r="B105" s="58" t="n"/>
    </row>
    <row r="106">
      <c r="A106" s="64" t="n"/>
      <c r="B106" s="58" t="n"/>
    </row>
    <row r="107">
      <c r="A107" s="64" t="n"/>
      <c r="B107" s="58" t="n"/>
    </row>
    <row r="108">
      <c r="A108" s="77" t="n"/>
      <c r="B108" s="78" t="n"/>
    </row>
    <row r="109">
      <c r="A109" s="60" t="n"/>
      <c r="B109" s="60" t="n"/>
    </row>
    <row r="110">
      <c r="A110" s="60" t="n"/>
      <c r="B110" s="60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AA25"/>
  <sheetViews>
    <sheetView zoomScale="110" zoomScaleNormal="90" workbookViewId="0">
      <selection activeCell="N7" sqref="N7"/>
    </sheetView>
  </sheetViews>
  <sheetFormatPr baseColWidth="8" defaultRowHeight="14.5"/>
  <cols>
    <col width="4.81640625" bestFit="1" customWidth="1" min="1" max="1"/>
    <col width="7.453125" bestFit="1" customWidth="1" min="2" max="2"/>
    <col width="13.08984375" bestFit="1" customWidth="1" min="3" max="3"/>
    <col width="17.08984375" bestFit="1" customWidth="1" min="4" max="4"/>
    <col width="10.90625" bestFit="1" customWidth="1" min="23" max="23"/>
  </cols>
  <sheetData>
    <row r="1">
      <c r="A1" s="116" t="inlineStr">
        <is>
          <t>Monetization</t>
        </is>
      </c>
      <c r="B1" s="139" t="n"/>
      <c r="C1" s="139" t="n"/>
      <c r="D1" s="140" t="n"/>
    </row>
    <row r="2">
      <c r="A2" s="54" t="inlineStr">
        <is>
          <t>Year</t>
        </is>
      </c>
      <c r="B2" s="54" t="inlineStr">
        <is>
          <t xml:space="preserve">Savings </t>
        </is>
      </c>
      <c r="C2" s="54" t="inlineStr">
        <is>
          <t>Billablity Hour</t>
        </is>
      </c>
      <c r="D2" s="54" t="inlineStr">
        <is>
          <t>Savings Percentage</t>
        </is>
      </c>
    </row>
    <row r="3">
      <c r="A3" s="38" t="n">
        <v>2022</v>
      </c>
      <c r="B3" s="38" t="n">
        <v>52196</v>
      </c>
      <c r="C3" s="38" t="n">
        <v>1149593</v>
      </c>
      <c r="D3" s="55">
        <f>B3/C3</f>
        <v/>
      </c>
    </row>
    <row r="4">
      <c r="A4" s="38" t="n">
        <v>2023</v>
      </c>
      <c r="B4" s="38" t="n">
        <v>77725</v>
      </c>
      <c r="C4" s="38" t="n">
        <v>964557</v>
      </c>
      <c r="D4" s="55">
        <f>B4/C4</f>
        <v/>
      </c>
    </row>
    <row r="5">
      <c r="A5" s="38" t="n">
        <v>2024</v>
      </c>
      <c r="B5" s="38" t="n">
        <v>100456.29</v>
      </c>
      <c r="C5" s="38" t="n">
        <v>716358</v>
      </c>
      <c r="D5" s="55" t="n">
        <v>0.1447</v>
      </c>
    </row>
    <row r="6">
      <c r="A6" s="96" t="n">
        <v>2025</v>
      </c>
      <c r="B6" t="n">
        <v>152115</v>
      </c>
      <c r="C6" s="97" t="n">
        <v>778770</v>
      </c>
      <c r="D6" s="55">
        <f>B6/C6</f>
        <v/>
      </c>
    </row>
    <row r="10">
      <c r="X10" t="inlineStr">
        <is>
          <t>EB</t>
        </is>
      </c>
    </row>
    <row r="11">
      <c r="W11" s="51" t="inlineStr">
        <is>
          <t>Month</t>
        </is>
      </c>
      <c r="X11" s="51" t="n">
        <v>2022</v>
      </c>
      <c r="Y11" s="51" t="n">
        <v>2023</v>
      </c>
      <c r="Z11" s="51" t="n">
        <v>2024</v>
      </c>
    </row>
    <row r="12">
      <c r="W12" s="35" t="inlineStr">
        <is>
          <t>Jan</t>
        </is>
      </c>
      <c r="X12" s="52" t="n">
        <v>280</v>
      </c>
      <c r="Y12" s="52" t="n"/>
      <c r="Z12" s="52">
        <f>'Monthly Data 2025'!H3</f>
        <v/>
      </c>
    </row>
    <row r="13">
      <c r="W13" s="35" t="inlineStr">
        <is>
          <t>Feb</t>
        </is>
      </c>
      <c r="X13" s="52" t="n">
        <v>80</v>
      </c>
      <c r="Y13" s="52" t="n">
        <v>487</v>
      </c>
      <c r="Z13" s="52">
        <f>'Monthly Data 2025'!H4</f>
        <v/>
      </c>
    </row>
    <row r="14">
      <c r="W14" s="35" t="inlineStr">
        <is>
          <t>Mar</t>
        </is>
      </c>
      <c r="X14" s="52" t="n">
        <v>270</v>
      </c>
      <c r="Y14" s="52" t="n"/>
      <c r="Z14" s="52">
        <f>'Monthly Data 2025'!H5</f>
        <v/>
      </c>
    </row>
    <row r="15">
      <c r="W15" s="35" t="inlineStr">
        <is>
          <t>Apr</t>
        </is>
      </c>
      <c r="X15" s="52" t="n">
        <v>621.5</v>
      </c>
      <c r="Y15" s="52" t="n"/>
      <c r="Z15" s="52">
        <f>'Monthly Data 2025'!H6</f>
        <v/>
      </c>
    </row>
    <row r="16">
      <c r="W16" s="35" t="inlineStr">
        <is>
          <t>May</t>
        </is>
      </c>
      <c r="X16" s="52" t="n">
        <v>251</v>
      </c>
      <c r="Y16" s="52" t="n">
        <v>40</v>
      </c>
      <c r="Z16" s="52">
        <f>'Monthly Data 2025'!H7</f>
        <v/>
      </c>
    </row>
    <row r="17">
      <c r="W17" s="35" t="inlineStr">
        <is>
          <t>Jun</t>
        </is>
      </c>
      <c r="X17" s="52" t="n">
        <v>1540</v>
      </c>
      <c r="Y17" s="52" t="n">
        <v>1004</v>
      </c>
      <c r="Z17" s="52">
        <f>'Monthly Data 2025'!H8</f>
        <v/>
      </c>
    </row>
    <row r="18">
      <c r="W18" s="35" t="inlineStr">
        <is>
          <t>Jul</t>
        </is>
      </c>
      <c r="X18" s="52" t="n">
        <v>80</v>
      </c>
      <c r="Y18" s="52" t="n">
        <v>827</v>
      </c>
      <c r="Z18" s="52">
        <f>'Monthly Data 2025'!H9</f>
        <v/>
      </c>
    </row>
    <row r="19">
      <c r="W19" s="35" t="inlineStr">
        <is>
          <t>Aug</t>
        </is>
      </c>
      <c r="X19" s="52" t="n">
        <v>90</v>
      </c>
      <c r="Y19" s="52" t="n"/>
      <c r="Z19" s="52">
        <f>'Monthly Data 2025'!H10</f>
        <v/>
      </c>
    </row>
    <row r="20">
      <c r="W20" s="35" t="inlineStr">
        <is>
          <t>Sep</t>
        </is>
      </c>
      <c r="X20" s="52" t="n">
        <v>420.6</v>
      </c>
      <c r="Y20" s="52" t="n">
        <v>11.25</v>
      </c>
      <c r="Z20" s="52">
        <f>'Monthly Data 2025'!H11</f>
        <v/>
      </c>
    </row>
    <row r="21">
      <c r="W21" s="35" t="inlineStr">
        <is>
          <t>Oct</t>
        </is>
      </c>
      <c r="X21" s="52" t="n">
        <v>35</v>
      </c>
      <c r="Y21" s="52" t="n">
        <v>248.5</v>
      </c>
      <c r="Z21" s="52">
        <f>'Monthly Data 2025'!H12</f>
        <v/>
      </c>
    </row>
    <row r="22">
      <c r="W22" s="35" t="inlineStr">
        <is>
          <t>Nov</t>
        </is>
      </c>
      <c r="X22" s="52" t="n">
        <v>0</v>
      </c>
      <c r="Y22" s="52" t="n">
        <v>218.9</v>
      </c>
      <c r="Z22" s="52">
        <f>'Monthly Data 2025'!H13</f>
        <v/>
      </c>
    </row>
    <row r="23">
      <c r="W23" s="35" t="inlineStr">
        <is>
          <t>Dec</t>
        </is>
      </c>
      <c r="X23" s="52" t="n">
        <v>383.11</v>
      </c>
      <c r="Y23" s="52" t="n">
        <v>980.5</v>
      </c>
      <c r="Z23" s="52">
        <f>'Monthly Data 2025'!H14</f>
        <v/>
      </c>
    </row>
    <row r="24">
      <c r="W24" s="51" t="inlineStr">
        <is>
          <t>Grand Total</t>
        </is>
      </c>
      <c r="X24" s="53">
        <f>SUM(X12:X23)</f>
        <v/>
      </c>
      <c r="Y24" s="53">
        <f>SUM(Y12:Y23)</f>
        <v/>
      </c>
      <c r="Z24" s="53">
        <f>SUM(Z12:Z23)</f>
        <v/>
      </c>
      <c r="AA24" s="52">
        <f>Z24-Y24</f>
        <v/>
      </c>
    </row>
    <row r="25">
      <c r="AA25">
        <f>AA24/Y24</f>
        <v/>
      </c>
    </row>
  </sheetData>
  <mergeCells count="1">
    <mergeCell ref="A1:D1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110" zoomScaleNormal="110" workbookViewId="0">
      <selection activeCell="F20" sqref="F20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zoomScale="38" zoomScaleNormal="38" workbookViewId="0">
      <selection activeCell="Y119" sqref="Y119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Sheet8">
    <outlinePr summaryBelow="1" summaryRight="1"/>
    <pageSetUpPr/>
  </sheetPr>
  <dimension ref="B1:O47"/>
  <sheetViews>
    <sheetView zoomScale="90" zoomScaleNormal="80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F4" sqref="F4"/>
    </sheetView>
  </sheetViews>
  <sheetFormatPr baseColWidth="8" defaultRowHeight="14.5"/>
  <cols>
    <col width="9.26953125" customWidth="1" min="2" max="2"/>
    <col width="14.7265625" customWidth="1" style="1" min="3" max="3"/>
    <col width="12.08984375" customWidth="1" style="1" min="4" max="4"/>
    <col width="16" customWidth="1" style="1" min="5" max="5"/>
    <col width="14.08984375" customWidth="1" style="1" min="6" max="6"/>
    <col width="14.36328125" customWidth="1" style="1" min="7" max="7"/>
    <col width="15.26953125" customWidth="1" style="1" min="8" max="8"/>
  </cols>
  <sheetData>
    <row r="1">
      <c r="B1" s="4" t="n"/>
      <c r="C1" s="141" t="inlineStr">
        <is>
          <t>Billing</t>
        </is>
      </c>
      <c r="D1" s="142" t="n"/>
      <c r="E1" s="120" t="inlineStr">
        <is>
          <t>Charging</t>
        </is>
      </c>
      <c r="F1" s="135" t="n"/>
      <c r="G1" s="121" t="inlineStr">
        <is>
          <t>Overall</t>
        </is>
      </c>
    </row>
    <row r="2" ht="29" customFormat="1" customHeight="1" s="2">
      <c r="B2" s="6" t="inlineStr">
        <is>
          <t>Month</t>
        </is>
      </c>
      <c r="C2" s="33" t="inlineStr">
        <is>
          <t>Total Savings - Billing</t>
        </is>
      </c>
      <c r="D2" s="33" t="inlineStr">
        <is>
          <t>Billing Savings %</t>
        </is>
      </c>
      <c r="E2" s="19" t="inlineStr">
        <is>
          <t>Total Savings - Charging</t>
        </is>
      </c>
      <c r="F2" s="19" t="inlineStr">
        <is>
          <t>Charging Savings %</t>
        </is>
      </c>
      <c r="G2" s="7" t="inlineStr">
        <is>
          <t>Total Savings - Monetization</t>
        </is>
      </c>
      <c r="H2" s="8" t="inlineStr">
        <is>
          <t>Monetization Savings %</t>
        </is>
      </c>
    </row>
    <row r="3">
      <c r="B3" s="9" t="inlineStr">
        <is>
          <t>Jan</t>
        </is>
      </c>
      <c r="C3" s="11">
        <f>Table2[[#This Row],[Total Savings - Billing]]</f>
        <v/>
      </c>
      <c r="D3" s="12">
        <f>Table2[[#This Row],[Billing Savings %]]</f>
        <v/>
      </c>
      <c r="E3" s="11">
        <f>Table2[[#This Row],[Total Savings - Charging]]</f>
        <v/>
      </c>
      <c r="F3" s="13">
        <f>Table2[[#This Row],[Charging Savings]]</f>
        <v/>
      </c>
      <c r="G3" s="14">
        <f>Table2[[#This Row],[Total Savings - Monetization]]</f>
        <v/>
      </c>
      <c r="H3" s="15">
        <f>Table2[[#This Row],[Monetization Savings %]]</f>
        <v/>
      </c>
    </row>
    <row r="4">
      <c r="B4" s="9" t="inlineStr">
        <is>
          <t>Feb</t>
        </is>
      </c>
      <c r="C4" s="11">
        <f>Table2[[#This Row],[Total Savings - Billing]]</f>
        <v/>
      </c>
      <c r="D4" s="12">
        <f>Table2[[#This Row],[Billing Savings %]]</f>
        <v/>
      </c>
      <c r="E4" s="11">
        <f>Table2[[#This Row],[Total Savings - Charging]]</f>
        <v/>
      </c>
      <c r="F4" s="13">
        <f>Table2[[#This Row],[Charging Savings]]</f>
        <v/>
      </c>
      <c r="G4" s="14">
        <f>Table2[[#This Row],[Total Savings - Monetization]]</f>
        <v/>
      </c>
      <c r="H4" s="15">
        <f>Table2[[#This Row],[Monetization Savings %]]</f>
        <v/>
      </c>
    </row>
    <row r="5">
      <c r="B5" s="9" t="inlineStr">
        <is>
          <t>Mar</t>
        </is>
      </c>
      <c r="C5" s="11" t="n"/>
      <c r="D5" s="12" t="n"/>
      <c r="E5" s="11" t="n"/>
      <c r="F5" s="13" t="n"/>
      <c r="G5" s="14" t="n"/>
      <c r="H5" s="15" t="n"/>
    </row>
    <row r="6">
      <c r="B6" s="9" t="inlineStr">
        <is>
          <t>April</t>
        </is>
      </c>
      <c r="C6" s="11" t="n"/>
      <c r="D6" s="12" t="n"/>
      <c r="E6" s="11" t="n"/>
      <c r="F6" s="13" t="n"/>
      <c r="G6" s="14" t="n"/>
      <c r="H6" s="15" t="n"/>
    </row>
    <row r="7">
      <c r="B7" s="9" t="inlineStr">
        <is>
          <t>May</t>
        </is>
      </c>
      <c r="C7" s="11" t="n"/>
      <c r="D7" s="12" t="n"/>
      <c r="E7" s="11" t="n"/>
      <c r="F7" s="13" t="n"/>
      <c r="G7" s="14" t="n"/>
      <c r="H7" s="15" t="n"/>
    </row>
    <row r="8">
      <c r="B8" s="9" t="inlineStr">
        <is>
          <t>Jun</t>
        </is>
      </c>
      <c r="C8" s="11" t="n"/>
      <c r="D8" s="12" t="n"/>
      <c r="E8" s="11" t="n"/>
      <c r="F8" s="13" t="n"/>
      <c r="G8" s="14" t="n"/>
      <c r="H8" s="15" t="n"/>
    </row>
    <row r="9">
      <c r="B9" s="9" t="inlineStr">
        <is>
          <t>Jul</t>
        </is>
      </c>
      <c r="C9" s="11" t="n"/>
      <c r="D9" s="12" t="n"/>
      <c r="E9" s="11" t="n"/>
      <c r="F9" s="13" t="n"/>
      <c r="G9" s="14" t="n"/>
      <c r="H9" s="15" t="n"/>
    </row>
    <row r="10">
      <c r="B10" s="9" t="inlineStr">
        <is>
          <t>Aug</t>
        </is>
      </c>
      <c r="C10" s="11" t="n"/>
      <c r="D10" s="12" t="n"/>
      <c r="E10" s="11" t="n"/>
      <c r="F10" s="12" t="n"/>
      <c r="G10" s="14" t="n"/>
      <c r="H10" s="15" t="n"/>
    </row>
    <row r="11">
      <c r="B11" s="9" t="inlineStr">
        <is>
          <t>Sep</t>
        </is>
      </c>
      <c r="C11" s="11" t="n"/>
      <c r="D11" s="12" t="n"/>
      <c r="E11" s="11" t="n"/>
      <c r="F11" s="12" t="n"/>
      <c r="G11" s="14" t="n"/>
      <c r="H11" s="15" t="n"/>
    </row>
    <row r="12">
      <c r="B12" s="9" t="inlineStr">
        <is>
          <t>Oct</t>
        </is>
      </c>
      <c r="C12" s="11" t="n"/>
      <c r="D12" s="12" t="n"/>
      <c r="E12" s="11" t="n"/>
      <c r="F12" s="12" t="n"/>
      <c r="G12" s="14" t="n"/>
      <c r="H12" s="15" t="n"/>
    </row>
    <row r="13">
      <c r="B13" s="9" t="inlineStr">
        <is>
          <t>Nov</t>
        </is>
      </c>
      <c r="C13" s="11" t="n"/>
      <c r="D13" s="12" t="n"/>
      <c r="E13" s="11" t="n"/>
      <c r="F13" s="12" t="n"/>
      <c r="G13" s="14" t="n"/>
      <c r="H13" s="15" t="n"/>
    </row>
    <row r="14">
      <c r="B14" s="9" t="inlineStr">
        <is>
          <t>Dec</t>
        </is>
      </c>
      <c r="C14" s="11" t="n"/>
      <c r="D14" s="12" t="n"/>
      <c r="E14" s="11" t="n"/>
      <c r="F14" s="12" t="n"/>
      <c r="G14" s="14" t="n"/>
      <c r="H14" s="15" t="n"/>
    </row>
    <row r="15">
      <c r="B15" s="20" t="inlineStr">
        <is>
          <t>YTD</t>
        </is>
      </c>
      <c r="C15" s="21">
        <f>SUM(C3:C14)</f>
        <v/>
      </c>
      <c r="D15" s="23">
        <f>Table2[[#This Row],[Billing Savings %]]</f>
        <v/>
      </c>
      <c r="E15" s="21">
        <f>SUM(E3:E14)</f>
        <v/>
      </c>
      <c r="F15" s="23">
        <f>Table2[[#This Row],[Charging Savings]]</f>
        <v/>
      </c>
      <c r="G15" s="21">
        <f>SUM(G3:G14)</f>
        <v/>
      </c>
      <c r="H15" s="23">
        <f>Table2[[#This Row],[Monetization Savings %]]</f>
        <v/>
      </c>
    </row>
    <row r="16">
      <c r="D16" s="3" t="n"/>
      <c r="F16" s="3" t="n"/>
      <c r="H16" s="3" t="n"/>
    </row>
    <row r="18">
      <c r="D18" s="34" t="n"/>
    </row>
    <row r="32" ht="21" customHeight="1">
      <c r="B32" s="143" t="inlineStr">
        <is>
          <t>Asset Reuse (Hrs) -SDU</t>
        </is>
      </c>
      <c r="C32" s="144" t="n"/>
      <c r="D32" s="145" t="n"/>
    </row>
    <row r="33" ht="31" customHeight="1">
      <c r="B33" s="24" t="inlineStr">
        <is>
          <t>Month / Year</t>
        </is>
      </c>
      <c r="C33" s="25" t="n">
        <v>2023</v>
      </c>
      <c r="D33" s="25" t="n">
        <v>2024</v>
      </c>
    </row>
    <row r="34" ht="15.5" customHeight="1">
      <c r="B34" s="26" t="inlineStr">
        <is>
          <t>Jan</t>
        </is>
      </c>
      <c r="C34" s="27" t="n">
        <v>0</v>
      </c>
      <c r="D34" s="27" t="n">
        <v>147.02</v>
      </c>
    </row>
    <row r="35" ht="15.5" customHeight="1">
      <c r="B35" s="26" t="inlineStr">
        <is>
          <t>Feb</t>
        </is>
      </c>
      <c r="C35" s="27" t="n">
        <v>247</v>
      </c>
      <c r="D35" s="27" t="n">
        <v>202.8</v>
      </c>
    </row>
    <row r="36" ht="15.5" customHeight="1">
      <c r="B36" s="26" t="inlineStr">
        <is>
          <t>Mar</t>
        </is>
      </c>
      <c r="C36" s="27" t="n">
        <v>0</v>
      </c>
      <c r="D36" s="27" t="n">
        <v>52</v>
      </c>
    </row>
    <row r="37" ht="15.5" customHeight="1">
      <c r="B37" s="26" t="inlineStr">
        <is>
          <t>Apr</t>
        </is>
      </c>
      <c r="C37" s="27" t="n">
        <v>0</v>
      </c>
      <c r="D37" s="27" t="n">
        <v>1202.5</v>
      </c>
    </row>
    <row r="38" ht="15.5" customHeight="1">
      <c r="B38" s="26" t="inlineStr">
        <is>
          <t>May</t>
        </is>
      </c>
      <c r="C38" s="27" t="n">
        <v>40</v>
      </c>
      <c r="D38" s="27" t="n">
        <v>910.3200000000001</v>
      </c>
    </row>
    <row r="39" ht="15.5" customHeight="1">
      <c r="B39" s="26" t="inlineStr">
        <is>
          <t>Jun</t>
        </is>
      </c>
      <c r="C39" s="27" t="n">
        <v>890</v>
      </c>
      <c r="D39" s="27" t="n">
        <v>725</v>
      </c>
    </row>
    <row r="40" ht="15.5" customHeight="1">
      <c r="B40" s="26" t="inlineStr">
        <is>
          <t>Jul</t>
        </is>
      </c>
      <c r="C40" s="27" t="n">
        <v>827</v>
      </c>
      <c r="D40" s="27">
        <f>C9</f>
        <v/>
      </c>
    </row>
    <row r="41" ht="15.5" customHeight="1">
      <c r="B41" s="26" t="inlineStr">
        <is>
          <t>Aug</t>
        </is>
      </c>
      <c r="C41" s="27" t="n">
        <v>0</v>
      </c>
      <c r="D41" s="27">
        <f>C10</f>
        <v/>
      </c>
    </row>
    <row r="42" ht="15.5" customHeight="1">
      <c r="B42" s="26" t="inlineStr">
        <is>
          <t>Sep</t>
        </is>
      </c>
      <c r="C42" s="27" t="n">
        <v>11.25</v>
      </c>
      <c r="D42" s="27">
        <f>C11</f>
        <v/>
      </c>
    </row>
    <row r="43" hidden="1" ht="15.5" customHeight="1">
      <c r="B43" s="26" t="inlineStr">
        <is>
          <t>Oct</t>
        </is>
      </c>
      <c r="C43" s="27" t="n"/>
      <c r="D43" s="27" t="n"/>
      <c r="O43" s="47" t="n">
        <v>248.5</v>
      </c>
    </row>
    <row r="44" hidden="1" ht="15.5" customHeight="1">
      <c r="B44" s="26" t="inlineStr">
        <is>
          <t>Nov</t>
        </is>
      </c>
      <c r="C44" s="27" t="n"/>
      <c r="D44" s="27" t="n"/>
      <c r="O44" s="47" t="n">
        <v>218.9</v>
      </c>
    </row>
    <row r="45" hidden="1" ht="15.5" customHeight="1">
      <c r="B45" s="26" t="inlineStr">
        <is>
          <t>Dec</t>
        </is>
      </c>
      <c r="C45" s="27" t="n"/>
      <c r="D45" s="27" t="n"/>
      <c r="O45" s="47" t="n">
        <v>980.5</v>
      </c>
    </row>
    <row r="46" ht="15.5" customHeight="1">
      <c r="B46" s="28" t="inlineStr">
        <is>
          <t>Total</t>
        </is>
      </c>
      <c r="C46" s="28">
        <f>SUM(C34:C45)</f>
        <v/>
      </c>
      <c r="D46" s="28">
        <f>SUM(D34:D45)</f>
        <v/>
      </c>
      <c r="E46" s="1">
        <f>D46-C46</f>
        <v/>
      </c>
    </row>
    <row r="47">
      <c r="D47" s="29">
        <f>E46/C46</f>
        <v/>
      </c>
    </row>
  </sheetData>
  <mergeCells count="4">
    <mergeCell ref="C1:D1"/>
    <mergeCell ref="G1:H1"/>
    <mergeCell ref="E1:F1"/>
    <mergeCell ref="B32:D32"/>
  </mergeCells>
  <pageMargins left="0.7" right="0.7" top="0.75" bottom="0.75" header="0.3" footer="0.3"/>
  <pageSetup orientation="portrait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 codeName="Sheet9">
    <outlinePr summaryBelow="1" summaryRight="1"/>
    <pageSetUpPr/>
  </sheetPr>
  <dimension ref="A1:H32"/>
  <sheetViews>
    <sheetView topLeftCell="B1" zoomScaleNormal="100" workbookViewId="0">
      <selection activeCell="F25" sqref="F25"/>
    </sheetView>
  </sheetViews>
  <sheetFormatPr baseColWidth="8" defaultRowHeight="14.5"/>
  <cols>
    <col width="15.26953125" bestFit="1" customWidth="1" min="1" max="1"/>
    <col width="11.6328125" customWidth="1" min="2" max="2"/>
    <col width="10.1796875" bestFit="1" customWidth="1" min="3" max="3"/>
    <col width="9.453125" bestFit="1" customWidth="1" min="4" max="4"/>
    <col width="10.1796875" bestFit="1" customWidth="1" min="5" max="5"/>
    <col width="8.81640625" customWidth="1" min="6" max="11"/>
  </cols>
  <sheetData>
    <row r="1">
      <c r="A1" s="132" t="inlineStr">
        <is>
          <t>Download Year</t>
        </is>
      </c>
      <c r="B1" s="129" t="inlineStr">
        <is>
          <t>Download Count</t>
        </is>
      </c>
      <c r="C1" s="138" t="n"/>
    </row>
    <row r="2">
      <c r="A2" s="146" t="n"/>
      <c r="B2" s="41" t="inlineStr">
        <is>
          <t>ALL Assets</t>
        </is>
      </c>
      <c r="C2" s="41" t="inlineStr">
        <is>
          <t>SDU Assets</t>
        </is>
      </c>
      <c r="D2" s="37" t="inlineStr">
        <is>
          <t>Average</t>
        </is>
      </c>
    </row>
    <row r="3">
      <c r="A3" s="38" t="n">
        <v>2023</v>
      </c>
      <c r="B3" s="42">
        <f>B21</f>
        <v/>
      </c>
      <c r="C3" s="42">
        <f>C21</f>
        <v/>
      </c>
      <c r="D3" s="38">
        <f>B3/12</f>
        <v/>
      </c>
    </row>
    <row r="4">
      <c r="A4" s="38" t="n">
        <v>2024</v>
      </c>
      <c r="B4" s="42">
        <f>D21</f>
        <v/>
      </c>
      <c r="C4" s="42">
        <f>E21</f>
        <v/>
      </c>
      <c r="D4" s="38">
        <f>B4/COUNT(D9:D20)</f>
        <v/>
      </c>
    </row>
    <row r="7">
      <c r="A7" s="128" t="inlineStr">
        <is>
          <t>Month</t>
        </is>
      </c>
      <c r="B7" s="128" t="n">
        <v>2023</v>
      </c>
      <c r="C7" s="140" t="n"/>
      <c r="D7" s="128" t="n">
        <v>2024</v>
      </c>
      <c r="E7" s="140" t="n"/>
    </row>
    <row r="8">
      <c r="A8" s="147" t="n"/>
      <c r="B8" s="41" t="inlineStr">
        <is>
          <t>ALL Assets</t>
        </is>
      </c>
      <c r="C8" s="41" t="inlineStr">
        <is>
          <t>SDU Assets</t>
        </is>
      </c>
      <c r="D8" s="41" t="inlineStr">
        <is>
          <t>ALL Assets</t>
        </is>
      </c>
      <c r="E8" s="41" t="inlineStr">
        <is>
          <t>SDU Assets</t>
        </is>
      </c>
    </row>
    <row r="9">
      <c r="A9" s="14" t="inlineStr">
        <is>
          <t>Jan</t>
        </is>
      </c>
      <c r="B9" s="14" t="n">
        <v>19</v>
      </c>
      <c r="C9" s="14" t="n">
        <v>17</v>
      </c>
      <c r="D9" s="14" t="n">
        <v>42</v>
      </c>
      <c r="E9" s="42" t="n">
        <v>27</v>
      </c>
      <c r="H9" s="35" t="n"/>
    </row>
    <row r="10">
      <c r="A10" s="14" t="inlineStr">
        <is>
          <t>Feb</t>
        </is>
      </c>
      <c r="B10" s="14" t="n">
        <v>34</v>
      </c>
      <c r="C10" s="14" t="n">
        <v>23</v>
      </c>
      <c r="D10" s="14" t="n">
        <v>25</v>
      </c>
      <c r="E10" s="42" t="n">
        <v>8</v>
      </c>
      <c r="H10" s="35" t="n"/>
    </row>
    <row r="11">
      <c r="A11" s="14" t="inlineStr">
        <is>
          <t>Mar</t>
        </is>
      </c>
      <c r="B11" s="14" t="n">
        <v>24</v>
      </c>
      <c r="C11" s="14" t="n">
        <v>21</v>
      </c>
      <c r="D11" s="14" t="n">
        <v>16</v>
      </c>
      <c r="E11" s="42" t="n">
        <v>12</v>
      </c>
      <c r="H11" s="35" t="n"/>
    </row>
    <row r="12">
      <c r="A12" s="14" t="inlineStr">
        <is>
          <t>Apr</t>
        </is>
      </c>
      <c r="B12" s="14" t="n">
        <v>19</v>
      </c>
      <c r="C12" s="14" t="n">
        <v>11</v>
      </c>
      <c r="D12" s="14" t="n">
        <v>17</v>
      </c>
      <c r="E12" s="42" t="n">
        <v>11</v>
      </c>
      <c r="H12" s="35" t="n"/>
    </row>
    <row r="13">
      <c r="A13" s="14" t="inlineStr">
        <is>
          <t>May</t>
        </is>
      </c>
      <c r="B13" s="14" t="n">
        <v>24</v>
      </c>
      <c r="C13" s="14" t="n">
        <v>13</v>
      </c>
      <c r="D13" s="14" t="n">
        <v>27</v>
      </c>
      <c r="E13" s="42" t="n">
        <v>19</v>
      </c>
      <c r="H13" s="35" t="n"/>
    </row>
    <row r="14">
      <c r="A14" s="14" t="inlineStr">
        <is>
          <t>Jun</t>
        </is>
      </c>
      <c r="B14" s="14" t="n">
        <v>32</v>
      </c>
      <c r="C14" s="14" t="n">
        <v>26</v>
      </c>
      <c r="D14" s="14" t="n">
        <v>22</v>
      </c>
      <c r="E14" s="42" t="n">
        <v>20</v>
      </c>
      <c r="H14" s="35" t="n"/>
    </row>
    <row r="15">
      <c r="A15" s="14" t="inlineStr">
        <is>
          <t>Jul</t>
        </is>
      </c>
      <c r="B15" s="14" t="n">
        <v>17</v>
      </c>
      <c r="C15" s="14" t="n">
        <v>5</v>
      </c>
      <c r="D15" s="14" t="n">
        <v>17</v>
      </c>
      <c r="E15" s="42" t="n">
        <v>10</v>
      </c>
      <c r="H15" s="35" t="n"/>
    </row>
    <row r="16">
      <c r="A16" s="14" t="inlineStr">
        <is>
          <t>Aug</t>
        </is>
      </c>
      <c r="B16" s="14" t="n">
        <v>9</v>
      </c>
      <c r="C16" s="14" t="n">
        <v>5</v>
      </c>
      <c r="D16" s="14" t="n">
        <v>23</v>
      </c>
      <c r="E16" s="42" t="n">
        <v>20</v>
      </c>
      <c r="H16" s="35" t="n"/>
    </row>
    <row r="17">
      <c r="A17" s="14" t="inlineStr">
        <is>
          <t>Sep</t>
        </is>
      </c>
      <c r="B17" s="14" t="n">
        <v>21</v>
      </c>
      <c r="C17" s="14" t="n">
        <v>10</v>
      </c>
      <c r="D17" s="14" t="n">
        <v>30</v>
      </c>
      <c r="E17" s="42" t="n">
        <v>22</v>
      </c>
      <c r="H17" s="35" t="n"/>
    </row>
    <row r="18">
      <c r="A18" s="14" t="inlineStr">
        <is>
          <t>Oct</t>
        </is>
      </c>
      <c r="B18" s="14" t="n">
        <v>16</v>
      </c>
      <c r="C18" s="14" t="n">
        <v>7</v>
      </c>
      <c r="D18" s="14" t="n"/>
      <c r="E18" s="42" t="n"/>
      <c r="H18" s="35" t="n"/>
    </row>
    <row r="19">
      <c r="A19" s="14" t="inlineStr">
        <is>
          <t>Nov</t>
        </is>
      </c>
      <c r="B19" s="14" t="n">
        <v>24</v>
      </c>
      <c r="C19" s="14" t="n">
        <v>5</v>
      </c>
      <c r="D19" s="14" t="n"/>
      <c r="E19" s="42" t="n"/>
      <c r="H19" s="35" t="n"/>
    </row>
    <row r="20">
      <c r="A20" s="14" t="inlineStr">
        <is>
          <t>Dec</t>
        </is>
      </c>
      <c r="B20" s="14" t="n">
        <v>28</v>
      </c>
      <c r="C20" s="14" t="n">
        <v>13</v>
      </c>
      <c r="D20" s="14" t="n"/>
      <c r="E20" s="42" t="n"/>
      <c r="H20" s="35" t="n"/>
    </row>
    <row r="21">
      <c r="A21" s="36" t="inlineStr">
        <is>
          <t>Totals</t>
        </is>
      </c>
      <c r="B21" s="128">
        <f>SUM(B9:B20)</f>
        <v/>
      </c>
      <c r="C21" s="128">
        <f>SUM(C9:C20)</f>
        <v/>
      </c>
      <c r="D21" s="128">
        <f>SUM(D9:D20)</f>
        <v/>
      </c>
      <c r="E21" s="40">
        <f>SUM(E9:E20)</f>
        <v/>
      </c>
    </row>
    <row r="25">
      <c r="D25" s="35" t="n"/>
    </row>
    <row r="26">
      <c r="D26" s="35" t="n"/>
    </row>
    <row r="27">
      <c r="D27" s="35" t="n"/>
    </row>
    <row r="28">
      <c r="D28" s="35" t="n"/>
    </row>
    <row r="29">
      <c r="D29" s="35" t="n"/>
    </row>
    <row r="30">
      <c r="D30" s="35" t="n"/>
    </row>
    <row r="31">
      <c r="D31" s="35" t="n"/>
    </row>
    <row r="32">
      <c r="D32" s="35" t="n"/>
    </row>
  </sheetData>
  <mergeCells count="5">
    <mergeCell ref="D7:E7"/>
    <mergeCell ref="B7:C7"/>
    <mergeCell ref="A7:A8"/>
    <mergeCell ref="B1:C1"/>
    <mergeCell ref="A1:A2"/>
  </mergeCell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codeName="Sheet10">
    <outlinePr summaryBelow="1" summaryRight="1"/>
    <pageSetUpPr/>
  </sheetPr>
  <dimension ref="A1:D71"/>
  <sheetViews>
    <sheetView workbookViewId="0">
      <selection activeCell="F15" sqref="F15"/>
    </sheetView>
  </sheetViews>
  <sheetFormatPr baseColWidth="8" defaultRowHeight="14.5"/>
  <cols>
    <col width="22.453125" bestFit="1" customWidth="1" min="3" max="3"/>
    <col width="33.7265625" bestFit="1" customWidth="1" min="4" max="4"/>
  </cols>
  <sheetData>
    <row r="1">
      <c r="A1" s="31" t="inlineStr">
        <is>
          <t>Month</t>
        </is>
      </c>
      <c r="B1" s="31" t="inlineStr">
        <is>
          <t>Domain</t>
        </is>
      </c>
      <c r="C1" s="31" t="inlineStr">
        <is>
          <t>Name</t>
        </is>
      </c>
      <c r="D1" s="31" t="inlineStr">
        <is>
          <t>LM</t>
        </is>
      </c>
    </row>
    <row r="2">
      <c r="A2" t="inlineStr">
        <is>
          <t>Jan</t>
        </is>
      </c>
      <c r="B2" t="inlineStr">
        <is>
          <t>EC</t>
        </is>
      </c>
      <c r="C2" s="35" t="inlineStr">
        <is>
          <t>Akash Ghosh</t>
        </is>
      </c>
      <c r="D2" s="35" t="inlineStr">
        <is>
          <t>Biswajit Pahari</t>
        </is>
      </c>
    </row>
    <row r="3">
      <c r="A3" t="inlineStr">
        <is>
          <t>Jan</t>
        </is>
      </c>
      <c r="B3" t="inlineStr">
        <is>
          <t>EC</t>
        </is>
      </c>
      <c r="C3" s="35" t="inlineStr">
        <is>
          <t>P. Arun Pandiyan</t>
        </is>
      </c>
      <c r="D3" s="35" t="inlineStr">
        <is>
          <t>Ramakrishnan Shanmugam</t>
        </is>
      </c>
    </row>
    <row r="4">
      <c r="A4" t="inlineStr">
        <is>
          <t>Jan</t>
        </is>
      </c>
      <c r="B4" t="inlineStr">
        <is>
          <t>EC</t>
        </is>
      </c>
      <c r="C4" s="35" t="inlineStr">
        <is>
          <t>Subhajyoti Sarkar</t>
        </is>
      </c>
      <c r="D4" s="35" t="inlineStr">
        <is>
          <t>Amrit Das D</t>
        </is>
      </c>
    </row>
    <row r="5">
      <c r="A5" t="inlineStr">
        <is>
          <t>Jan</t>
        </is>
      </c>
      <c r="B5" t="inlineStr">
        <is>
          <t>EC</t>
        </is>
      </c>
      <c r="C5" s="35" t="inlineStr">
        <is>
          <t>A S Balasubramanian</t>
        </is>
      </c>
      <c r="D5" s="35" t="inlineStr">
        <is>
          <t>Siva Ramakrishnan</t>
        </is>
      </c>
    </row>
    <row r="6">
      <c r="A6" t="inlineStr">
        <is>
          <t>Jan</t>
        </is>
      </c>
      <c r="B6" t="inlineStr">
        <is>
          <t>EC</t>
        </is>
      </c>
      <c r="C6" s="35" t="inlineStr">
        <is>
          <t>R Rajkiran</t>
        </is>
      </c>
      <c r="D6" s="35" t="inlineStr">
        <is>
          <t>Nagarajan Vedaraman</t>
        </is>
      </c>
    </row>
    <row r="7">
      <c r="A7" t="inlineStr">
        <is>
          <t>Jan</t>
        </is>
      </c>
      <c r="B7" t="inlineStr">
        <is>
          <t>EB</t>
        </is>
      </c>
      <c r="C7" t="inlineStr">
        <is>
          <t>Thota Arun Kumar</t>
        </is>
      </c>
      <c r="D7" s="35" t="inlineStr">
        <is>
          <t>Smita Behera</t>
        </is>
      </c>
    </row>
    <row r="8">
      <c r="A8" t="inlineStr">
        <is>
          <t>Jan</t>
        </is>
      </c>
      <c r="B8" t="inlineStr">
        <is>
          <t>EB</t>
        </is>
      </c>
      <c r="C8" t="inlineStr">
        <is>
          <t>Dharanidhar Sahoo</t>
        </is>
      </c>
      <c r="D8" s="35" t="inlineStr">
        <is>
          <t>Nanditha Keshavamurthy</t>
        </is>
      </c>
    </row>
    <row r="9">
      <c r="A9" t="inlineStr">
        <is>
          <t>Jan</t>
        </is>
      </c>
      <c r="B9" t="inlineStr">
        <is>
          <t>EB</t>
        </is>
      </c>
      <c r="C9" t="inlineStr">
        <is>
          <t>Rajni Priyanka Toppo</t>
        </is>
      </c>
      <c r="D9" s="35" t="inlineStr">
        <is>
          <t>Suman Chakraborty</t>
        </is>
      </c>
    </row>
    <row r="10">
      <c r="A10" t="inlineStr">
        <is>
          <t>Feb</t>
        </is>
      </c>
      <c r="B10" t="inlineStr">
        <is>
          <t>EC</t>
        </is>
      </c>
      <c r="C10" s="35" t="inlineStr">
        <is>
          <t>Nikhil Verma</t>
        </is>
      </c>
      <c r="D10" s="35" t="inlineStr">
        <is>
          <t>Subhas Chandra Guria C</t>
        </is>
      </c>
    </row>
    <row r="11">
      <c r="A11" t="inlineStr">
        <is>
          <t>Feb</t>
        </is>
      </c>
      <c r="B11" t="inlineStr">
        <is>
          <t>EC</t>
        </is>
      </c>
      <c r="C11" s="35" t="inlineStr">
        <is>
          <t>Vivek R</t>
        </is>
      </c>
      <c r="D11" s="35" t="inlineStr">
        <is>
          <t>Siva Ramakrishnan</t>
        </is>
      </c>
    </row>
    <row r="12">
      <c r="A12" t="inlineStr">
        <is>
          <t>Feb</t>
        </is>
      </c>
      <c r="B12" t="inlineStr">
        <is>
          <t>EC</t>
        </is>
      </c>
      <c r="C12" s="35" t="inlineStr">
        <is>
          <t>Giridhar G</t>
        </is>
      </c>
      <c r="D12" s="35" t="inlineStr">
        <is>
          <t>Siva Ramakrishnan</t>
        </is>
      </c>
    </row>
    <row r="13">
      <c r="A13" t="inlineStr">
        <is>
          <t>Feb</t>
        </is>
      </c>
      <c r="B13" t="inlineStr">
        <is>
          <t>EC</t>
        </is>
      </c>
      <c r="C13" s="35" t="inlineStr">
        <is>
          <t>G Purushotham</t>
        </is>
      </c>
      <c r="D13" s="35" t="inlineStr">
        <is>
          <t>PC Hemanath</t>
        </is>
      </c>
    </row>
    <row r="14">
      <c r="A14" t="inlineStr">
        <is>
          <t>Feb</t>
        </is>
      </c>
      <c r="B14" t="inlineStr">
        <is>
          <t>EC</t>
        </is>
      </c>
      <c r="C14" s="35" t="inlineStr">
        <is>
          <t>Sudhanshu B Dubey</t>
        </is>
      </c>
      <c r="D14" s="35" t="inlineStr">
        <is>
          <t>Rik Deb</t>
        </is>
      </c>
    </row>
    <row r="15">
      <c r="A15" t="inlineStr">
        <is>
          <t>Feb</t>
        </is>
      </c>
      <c r="B15" t="inlineStr">
        <is>
          <t>EB</t>
        </is>
      </c>
      <c r="C15" s="56" t="inlineStr">
        <is>
          <t>Gilfred P</t>
        </is>
      </c>
      <c r="D15" s="35" t="inlineStr">
        <is>
          <t>Nanditha Keshavamurthy</t>
        </is>
      </c>
    </row>
    <row r="16">
      <c r="A16" t="inlineStr">
        <is>
          <t>Feb</t>
        </is>
      </c>
      <c r="B16" t="inlineStr">
        <is>
          <t>EB</t>
        </is>
      </c>
      <c r="C16" s="56" t="inlineStr">
        <is>
          <t>Amit Jain J</t>
        </is>
      </c>
      <c r="D16" s="35" t="inlineStr">
        <is>
          <t>Smita Behera</t>
        </is>
      </c>
    </row>
    <row r="17">
      <c r="A17" t="inlineStr">
        <is>
          <t>Feb</t>
        </is>
      </c>
      <c r="B17" t="inlineStr">
        <is>
          <t>EB</t>
        </is>
      </c>
      <c r="C17" s="56" t="inlineStr">
        <is>
          <t>Rajni Priyanka Toppo</t>
        </is>
      </c>
      <c r="D17" s="35" t="inlineStr">
        <is>
          <t>Suman Chakraborty</t>
        </is>
      </c>
    </row>
    <row r="18">
      <c r="A18" t="inlineStr">
        <is>
          <t>Feb</t>
        </is>
      </c>
      <c r="B18" t="inlineStr">
        <is>
          <t>EB</t>
        </is>
      </c>
      <c r="C18" s="56" t="inlineStr">
        <is>
          <t>Thota Arun Kumar</t>
        </is>
      </c>
      <c r="D18" s="35" t="inlineStr">
        <is>
          <t>Smita Behera</t>
        </is>
      </c>
    </row>
    <row r="19">
      <c r="A19" t="inlineStr">
        <is>
          <t>Mar</t>
        </is>
      </c>
      <c r="B19" t="inlineStr">
        <is>
          <t>EC</t>
        </is>
      </c>
      <c r="C19" s="30" t="inlineStr">
        <is>
          <t>Partheeban R</t>
        </is>
      </c>
      <c r="D19" s="35" t="inlineStr">
        <is>
          <t>PC Hemanath</t>
        </is>
      </c>
    </row>
    <row r="20">
      <c r="A20" t="inlineStr">
        <is>
          <t>Mar</t>
        </is>
      </c>
      <c r="B20" t="inlineStr">
        <is>
          <t>EC</t>
        </is>
      </c>
      <c r="C20" s="30" t="inlineStr">
        <is>
          <t>Vivek R</t>
        </is>
      </c>
      <c r="D20" s="35" t="inlineStr">
        <is>
          <t>Siva Ramakrishnan</t>
        </is>
      </c>
    </row>
    <row r="21">
      <c r="A21" t="inlineStr">
        <is>
          <t>Mar</t>
        </is>
      </c>
      <c r="B21" t="inlineStr">
        <is>
          <t>EC</t>
        </is>
      </c>
      <c r="C21" s="30" t="inlineStr">
        <is>
          <t>Debraj Naskar</t>
        </is>
      </c>
      <c r="D21" s="35" t="inlineStr">
        <is>
          <t>Mohammed Haja Faiz</t>
        </is>
      </c>
    </row>
    <row r="22">
      <c r="A22" t="inlineStr">
        <is>
          <t>Mar</t>
        </is>
      </c>
      <c r="B22" t="inlineStr">
        <is>
          <t>EC</t>
        </is>
      </c>
      <c r="C22" s="30" t="inlineStr">
        <is>
          <t>Noor Alam A</t>
        </is>
      </c>
      <c r="D22" s="35" t="inlineStr">
        <is>
          <t>Deepak Dulloo</t>
        </is>
      </c>
    </row>
    <row r="23">
      <c r="A23" t="inlineStr">
        <is>
          <t>Mar</t>
        </is>
      </c>
      <c r="B23" t="inlineStr">
        <is>
          <t>EC</t>
        </is>
      </c>
      <c r="C23" s="30" t="inlineStr">
        <is>
          <t xml:space="preserve">Gautam Manoharan </t>
        </is>
      </c>
      <c r="D23" s="35" t="inlineStr">
        <is>
          <t>Sasikumar Kesavan</t>
        </is>
      </c>
    </row>
    <row r="24">
      <c r="A24" t="inlineStr">
        <is>
          <t>Mar</t>
        </is>
      </c>
      <c r="B24" t="inlineStr">
        <is>
          <t>EB</t>
        </is>
      </c>
      <c r="C24" s="30" t="inlineStr">
        <is>
          <t>Rajni Priyanka Toppo</t>
        </is>
      </c>
      <c r="D24" s="35" t="inlineStr">
        <is>
          <t>Suman Chakraborty</t>
        </is>
      </c>
    </row>
    <row r="25">
      <c r="A25" t="inlineStr">
        <is>
          <t>Mar</t>
        </is>
      </c>
      <c r="B25" t="inlineStr">
        <is>
          <t>EB</t>
        </is>
      </c>
      <c r="C25" s="30" t="inlineStr">
        <is>
          <t>Thota Arun Kumar</t>
        </is>
      </c>
      <c r="D25" s="35" t="inlineStr">
        <is>
          <t>Smita Behera</t>
        </is>
      </c>
    </row>
    <row r="26">
      <c r="A26" t="inlineStr">
        <is>
          <t>Apr</t>
        </is>
      </c>
      <c r="B26" t="inlineStr">
        <is>
          <t>EB</t>
        </is>
      </c>
      <c r="C26" s="30" t="inlineStr">
        <is>
          <t>Dharanidhar Sahoo</t>
        </is>
      </c>
      <c r="D26" s="35" t="inlineStr">
        <is>
          <t>Nanditha Keshavamurthy</t>
        </is>
      </c>
    </row>
    <row r="27">
      <c r="A27" t="inlineStr">
        <is>
          <t>Apr</t>
        </is>
      </c>
      <c r="B27" t="inlineStr">
        <is>
          <t>EB</t>
        </is>
      </c>
      <c r="C27" s="30" t="inlineStr">
        <is>
          <t>Rajni Priyanka Toppo</t>
        </is>
      </c>
      <c r="D27" s="35" t="inlineStr">
        <is>
          <t>Suman Chakraborty</t>
        </is>
      </c>
    </row>
    <row r="28">
      <c r="A28" t="inlineStr">
        <is>
          <t>Apr</t>
        </is>
      </c>
      <c r="B28" t="inlineStr">
        <is>
          <t>EB</t>
        </is>
      </c>
      <c r="C28" s="30" t="inlineStr">
        <is>
          <t>David Cyril Samuel</t>
        </is>
      </c>
      <c r="D28" s="35" t="inlineStr">
        <is>
          <t>Shishir Deshpande</t>
        </is>
      </c>
    </row>
    <row r="29">
      <c r="A29" t="inlineStr">
        <is>
          <t>Apr</t>
        </is>
      </c>
      <c r="B29" t="inlineStr">
        <is>
          <t>EB</t>
        </is>
      </c>
      <c r="C29" s="30" t="inlineStr">
        <is>
          <t>Thota Arun Kumar</t>
        </is>
      </c>
      <c r="D29" s="35" t="inlineStr">
        <is>
          <t>Smita Behera</t>
        </is>
      </c>
    </row>
    <row r="30">
      <c r="A30" t="inlineStr">
        <is>
          <t>Apr</t>
        </is>
      </c>
      <c r="B30" t="inlineStr">
        <is>
          <t>EC</t>
        </is>
      </c>
      <c r="C30" s="30" t="inlineStr">
        <is>
          <t>Abraham Stephen D</t>
        </is>
      </c>
      <c r="D30" s="35" t="inlineStr">
        <is>
          <t>PC Hemanath</t>
        </is>
      </c>
    </row>
    <row r="31">
      <c r="A31" t="inlineStr">
        <is>
          <t>Apr</t>
        </is>
      </c>
      <c r="B31" t="inlineStr">
        <is>
          <t>EC</t>
        </is>
      </c>
      <c r="C31" s="30" t="inlineStr">
        <is>
          <t>S Naveen Kumar</t>
        </is>
      </c>
      <c r="D31" s="35" t="inlineStr">
        <is>
          <t>Ramakrishnan Shanmugam</t>
        </is>
      </c>
    </row>
    <row r="32">
      <c r="A32" t="inlineStr">
        <is>
          <t>Apr</t>
        </is>
      </c>
      <c r="B32" t="inlineStr">
        <is>
          <t>EC</t>
        </is>
      </c>
      <c r="C32" s="30" t="inlineStr">
        <is>
          <t>Giridhar G</t>
        </is>
      </c>
      <c r="D32" s="35" t="inlineStr">
        <is>
          <t>Siva Ramakrishnan</t>
        </is>
      </c>
    </row>
    <row r="33">
      <c r="A33" t="inlineStr">
        <is>
          <t>Apr</t>
        </is>
      </c>
      <c r="B33" t="inlineStr">
        <is>
          <t>EC</t>
        </is>
      </c>
      <c r="C33" s="30" t="inlineStr">
        <is>
          <t>Vivekanandan R</t>
        </is>
      </c>
      <c r="D33" s="35" t="inlineStr">
        <is>
          <t>PC Hemanath</t>
        </is>
      </c>
    </row>
    <row r="34">
      <c r="A34" t="inlineStr">
        <is>
          <t>Apr</t>
        </is>
      </c>
      <c r="B34" t="inlineStr">
        <is>
          <t>EC</t>
        </is>
      </c>
      <c r="C34" s="30" t="inlineStr">
        <is>
          <t>Tanmay Sharma</t>
        </is>
      </c>
      <c r="D34" s="35" t="inlineStr">
        <is>
          <t>Biswajit Pahari</t>
        </is>
      </c>
    </row>
    <row r="35">
      <c r="A35" t="inlineStr">
        <is>
          <t>May</t>
        </is>
      </c>
      <c r="B35" t="inlineStr">
        <is>
          <t>EB</t>
        </is>
      </c>
      <c r="C35" s="35" t="inlineStr">
        <is>
          <t>Shoubhik Sinha</t>
        </is>
      </c>
      <c r="D35" t="inlineStr">
        <is>
          <t>Suman Chakraborty</t>
        </is>
      </c>
    </row>
    <row r="36">
      <c r="A36" t="inlineStr">
        <is>
          <t>May</t>
        </is>
      </c>
      <c r="B36" t="inlineStr">
        <is>
          <t>EB</t>
        </is>
      </c>
      <c r="C36" s="35" t="inlineStr">
        <is>
          <t>Rajni Priyanka Toppo</t>
        </is>
      </c>
      <c r="D36" s="35" t="inlineStr">
        <is>
          <t>Suman Chakraborty</t>
        </is>
      </c>
    </row>
    <row r="37">
      <c r="A37" t="inlineStr">
        <is>
          <t>May</t>
        </is>
      </c>
      <c r="B37" t="inlineStr">
        <is>
          <t>EB</t>
        </is>
      </c>
      <c r="C37" s="35" t="inlineStr">
        <is>
          <t>Sujoy Palit</t>
        </is>
      </c>
      <c r="D37" s="35" t="inlineStr">
        <is>
          <t>Suman Chakraborty</t>
        </is>
      </c>
    </row>
    <row r="38">
      <c r="A38" t="inlineStr">
        <is>
          <t>May</t>
        </is>
      </c>
      <c r="B38" t="inlineStr">
        <is>
          <t>EB</t>
        </is>
      </c>
      <c r="C38" s="35" t="inlineStr">
        <is>
          <t>Thota Arun Kumar</t>
        </is>
      </c>
      <c r="D38" s="35" t="inlineStr">
        <is>
          <t>Smita Behera</t>
        </is>
      </c>
    </row>
    <row r="39">
      <c r="A39" t="inlineStr">
        <is>
          <t>May</t>
        </is>
      </c>
      <c r="B39" t="inlineStr">
        <is>
          <t>EC</t>
        </is>
      </c>
      <c r="C39" s="35" t="inlineStr">
        <is>
          <t>Ankit Tripathi A</t>
        </is>
      </c>
      <c r="D39" t="inlineStr">
        <is>
          <t>Gaurav Gupta L</t>
        </is>
      </c>
    </row>
    <row r="40">
      <c r="A40" t="inlineStr">
        <is>
          <t>May</t>
        </is>
      </c>
      <c r="B40" t="inlineStr">
        <is>
          <t>EC</t>
        </is>
      </c>
      <c r="C40" s="35" t="inlineStr">
        <is>
          <t>Akash Ghosh</t>
        </is>
      </c>
      <c r="D40" s="35" t="inlineStr">
        <is>
          <t>Biswajit Pahari</t>
        </is>
      </c>
    </row>
    <row r="41">
      <c r="A41" t="inlineStr">
        <is>
          <t>May</t>
        </is>
      </c>
      <c r="B41" t="inlineStr">
        <is>
          <t>EC</t>
        </is>
      </c>
      <c r="C41" s="35" t="inlineStr">
        <is>
          <t>Vengatesh X</t>
        </is>
      </c>
      <c r="D41" s="35" t="inlineStr">
        <is>
          <t>Nagarajan Vedaraman</t>
        </is>
      </c>
    </row>
    <row r="42">
      <c r="A42" t="inlineStr">
        <is>
          <t>May</t>
        </is>
      </c>
      <c r="B42" t="inlineStr">
        <is>
          <t>EC</t>
        </is>
      </c>
      <c r="C42" s="35" t="inlineStr">
        <is>
          <t>Vivek R</t>
        </is>
      </c>
      <c r="D42" s="35" t="inlineStr">
        <is>
          <t>Siva Ramakrishnan</t>
        </is>
      </c>
    </row>
    <row r="43">
      <c r="A43" t="inlineStr">
        <is>
          <t>May</t>
        </is>
      </c>
      <c r="B43" t="inlineStr">
        <is>
          <t>EC</t>
        </is>
      </c>
      <c r="C43" s="35" t="inlineStr">
        <is>
          <t>Debraj Naskar</t>
        </is>
      </c>
      <c r="D43" s="35" t="inlineStr">
        <is>
          <t>Mohammed Haja Faiz</t>
        </is>
      </c>
    </row>
    <row r="44">
      <c r="A44" t="inlineStr">
        <is>
          <t>Jun</t>
        </is>
      </c>
      <c r="B44" t="inlineStr">
        <is>
          <t>EC</t>
        </is>
      </c>
      <c r="C44" s="35" t="inlineStr">
        <is>
          <t>Vivekanandan R</t>
        </is>
      </c>
      <c r="D44" s="35" t="inlineStr">
        <is>
          <t>Amrit Das</t>
        </is>
      </c>
    </row>
    <row r="45">
      <c r="A45" t="inlineStr">
        <is>
          <t>Jun</t>
        </is>
      </c>
      <c r="B45" t="inlineStr">
        <is>
          <t>EC</t>
        </is>
      </c>
      <c r="C45" s="35" t="inlineStr">
        <is>
          <t>Manasranjan Mahapatro</t>
        </is>
      </c>
      <c r="D45" s="35" t="inlineStr">
        <is>
          <t>Amrit Das</t>
        </is>
      </c>
    </row>
    <row r="46">
      <c r="A46" t="inlineStr">
        <is>
          <t>Jun</t>
        </is>
      </c>
      <c r="B46" t="inlineStr">
        <is>
          <t>EC</t>
        </is>
      </c>
      <c r="C46" s="35" t="inlineStr">
        <is>
          <t>Gyan Singh</t>
        </is>
      </c>
      <c r="D46" s="35" t="inlineStr">
        <is>
          <t>Ramakrishnan Shanmugam</t>
        </is>
      </c>
    </row>
    <row r="47">
      <c r="A47" t="inlineStr">
        <is>
          <t>Jun</t>
        </is>
      </c>
      <c r="B47" t="inlineStr">
        <is>
          <t>EC</t>
        </is>
      </c>
      <c r="C47" s="35" t="inlineStr">
        <is>
          <t>R Rajkiran</t>
        </is>
      </c>
      <c r="D47" s="35" t="inlineStr">
        <is>
          <t>Ramakrishnan Shanmugam</t>
        </is>
      </c>
    </row>
    <row r="48">
      <c r="A48" t="inlineStr">
        <is>
          <t>Jun</t>
        </is>
      </c>
      <c r="B48" t="inlineStr">
        <is>
          <t>EC</t>
        </is>
      </c>
      <c r="C48" s="35" t="inlineStr">
        <is>
          <t>Akash Ghosh</t>
        </is>
      </c>
      <c r="D48" s="35" t="inlineStr">
        <is>
          <t>Ramakrishnan Shanmugam</t>
        </is>
      </c>
    </row>
    <row r="49">
      <c r="A49" t="inlineStr">
        <is>
          <t>Jun</t>
        </is>
      </c>
      <c r="B49" t="inlineStr">
        <is>
          <t>EB</t>
        </is>
      </c>
      <c r="C49" s="35" t="inlineStr">
        <is>
          <t>Rishabh Singh</t>
        </is>
      </c>
      <c r="D49" s="35" t="inlineStr">
        <is>
          <t>Shishir Deshpande</t>
        </is>
      </c>
    </row>
    <row r="50">
      <c r="A50" t="inlineStr">
        <is>
          <t>Jun</t>
        </is>
      </c>
      <c r="B50" t="inlineStr">
        <is>
          <t>EB</t>
        </is>
      </c>
      <c r="C50" s="35" t="inlineStr">
        <is>
          <t>Rajni Priyanka Toppo</t>
        </is>
      </c>
      <c r="D50" s="35" t="inlineStr">
        <is>
          <t>Suman Chakraborty</t>
        </is>
      </c>
    </row>
    <row r="51">
      <c r="A51" t="inlineStr">
        <is>
          <t>Jun</t>
        </is>
      </c>
      <c r="B51" t="inlineStr">
        <is>
          <t>EB</t>
        </is>
      </c>
      <c r="C51" s="35" t="inlineStr">
        <is>
          <t>Thota Arun Kumar</t>
        </is>
      </c>
      <c r="D51" s="35" t="inlineStr">
        <is>
          <t>Smita Behera</t>
        </is>
      </c>
    </row>
    <row r="52">
      <c r="A52" t="inlineStr">
        <is>
          <t>Jul</t>
        </is>
      </c>
      <c r="B52" t="inlineStr">
        <is>
          <t>EC</t>
        </is>
      </c>
      <c r="C52" s="35" t="inlineStr">
        <is>
          <t>Akash Ghosh</t>
        </is>
      </c>
      <c r="D52" s="35" t="inlineStr">
        <is>
          <t>Ramakrishnan Shanmugam</t>
        </is>
      </c>
    </row>
    <row r="53">
      <c r="A53" t="inlineStr">
        <is>
          <t>Jul</t>
        </is>
      </c>
      <c r="B53" t="inlineStr">
        <is>
          <t>EC</t>
        </is>
      </c>
      <c r="C53" s="35" t="inlineStr">
        <is>
          <t>Gulab Sharma</t>
        </is>
      </c>
      <c r="D53" s="35" t="inlineStr">
        <is>
          <t>Subhas Chandra Guria C</t>
        </is>
      </c>
    </row>
    <row r="54">
      <c r="A54" t="inlineStr">
        <is>
          <t>Jul</t>
        </is>
      </c>
      <c r="B54" t="inlineStr">
        <is>
          <t>EC</t>
        </is>
      </c>
      <c r="C54" s="35" t="inlineStr">
        <is>
          <t>R Rajkiran</t>
        </is>
      </c>
      <c r="D54" s="35" t="inlineStr">
        <is>
          <t>Ramakrishnan Shanmugam</t>
        </is>
      </c>
    </row>
    <row r="55">
      <c r="A55" t="inlineStr">
        <is>
          <t>Jul</t>
        </is>
      </c>
      <c r="B55" t="inlineStr">
        <is>
          <t>EC</t>
        </is>
      </c>
      <c r="C55" s="35" t="inlineStr">
        <is>
          <t>Chandan Padhy</t>
        </is>
      </c>
      <c r="D55" s="35" t="inlineStr">
        <is>
          <t>Mohammed Haja Faiz</t>
        </is>
      </c>
    </row>
    <row r="56">
      <c r="A56" t="inlineStr">
        <is>
          <t>Jul</t>
        </is>
      </c>
      <c r="B56" t="inlineStr">
        <is>
          <t>EC</t>
        </is>
      </c>
      <c r="C56" s="35" t="inlineStr">
        <is>
          <t>T K Kishorkumar</t>
        </is>
      </c>
      <c r="D56" s="35" t="inlineStr">
        <is>
          <t>Siva Ramakrishnan</t>
        </is>
      </c>
    </row>
    <row r="57">
      <c r="A57" t="inlineStr">
        <is>
          <t>Jul</t>
        </is>
      </c>
      <c r="B57" t="inlineStr">
        <is>
          <t>EB</t>
        </is>
      </c>
      <c r="C57" s="90" t="inlineStr">
        <is>
          <t>Shoubhik Sinha</t>
        </is>
      </c>
      <c r="D57" s="35" t="inlineStr">
        <is>
          <t>Suman Chakraborty</t>
        </is>
      </c>
    </row>
    <row r="58">
      <c r="A58" t="inlineStr">
        <is>
          <t>Jul</t>
        </is>
      </c>
      <c r="B58" t="inlineStr">
        <is>
          <t>EB</t>
        </is>
      </c>
      <c r="C58" s="90" t="inlineStr">
        <is>
          <t>Sujoy Palit</t>
        </is>
      </c>
      <c r="D58" s="35" t="inlineStr">
        <is>
          <t>Suman Chakraborty</t>
        </is>
      </c>
    </row>
    <row r="59">
      <c r="A59" t="inlineStr">
        <is>
          <t>Jul</t>
        </is>
      </c>
      <c r="B59" t="inlineStr">
        <is>
          <t>EB</t>
        </is>
      </c>
      <c r="C59" s="90" t="inlineStr">
        <is>
          <t>Sandip Mitra</t>
        </is>
      </c>
      <c r="D59" s="35" t="inlineStr">
        <is>
          <t>Suman Chakraborty</t>
        </is>
      </c>
    </row>
    <row r="60">
      <c r="A60" t="inlineStr">
        <is>
          <t>Jul</t>
        </is>
      </c>
      <c r="B60" t="inlineStr">
        <is>
          <t>EB</t>
        </is>
      </c>
      <c r="C60" s="90" t="inlineStr">
        <is>
          <t>Thota Arun Kumar</t>
        </is>
      </c>
      <c r="D60" s="35" t="inlineStr">
        <is>
          <t>Smita Behera</t>
        </is>
      </c>
    </row>
    <row r="61">
      <c r="A61" t="inlineStr">
        <is>
          <t>Jul</t>
        </is>
      </c>
      <c r="B61" t="inlineStr">
        <is>
          <t>EB</t>
        </is>
      </c>
      <c r="C61" s="90" t="inlineStr">
        <is>
          <t>Rajni Priyanka Toppo</t>
        </is>
      </c>
      <c r="D61" s="35" t="inlineStr">
        <is>
          <t>Suman Chakraborty</t>
        </is>
      </c>
    </row>
    <row r="62">
      <c r="A62" t="inlineStr">
        <is>
          <t>Aug</t>
        </is>
      </c>
      <c r="B62" t="inlineStr">
        <is>
          <t>EC</t>
        </is>
      </c>
      <c r="C62" s="35" t="inlineStr">
        <is>
          <t>Noor Alam A</t>
        </is>
      </c>
      <c r="D62" s="35" t="inlineStr">
        <is>
          <t>Amrit Das</t>
        </is>
      </c>
    </row>
    <row r="63">
      <c r="A63" t="inlineStr">
        <is>
          <t>Aug</t>
        </is>
      </c>
      <c r="B63" t="inlineStr">
        <is>
          <t>EC</t>
        </is>
      </c>
      <c r="C63" s="35" t="inlineStr">
        <is>
          <t>Akash Ghosh</t>
        </is>
      </c>
      <c r="D63" s="35" t="inlineStr">
        <is>
          <t>Ramakrishnan Shanmugam</t>
        </is>
      </c>
    </row>
    <row r="64">
      <c r="A64" t="inlineStr">
        <is>
          <t>Aug</t>
        </is>
      </c>
      <c r="B64" t="inlineStr">
        <is>
          <t>EC</t>
        </is>
      </c>
      <c r="C64" s="35" t="inlineStr">
        <is>
          <t>R Rajkiran</t>
        </is>
      </c>
      <c r="D64" s="35" t="inlineStr">
        <is>
          <t>Ramakrishnan Shanmugam</t>
        </is>
      </c>
    </row>
    <row r="65">
      <c r="A65" t="inlineStr">
        <is>
          <t>Aug</t>
        </is>
      </c>
      <c r="B65" t="inlineStr">
        <is>
          <t>EC</t>
        </is>
      </c>
      <c r="C65" s="35" t="inlineStr">
        <is>
          <t>Bharath K B</t>
        </is>
      </c>
      <c r="D65" s="35" t="inlineStr">
        <is>
          <t>Sasikumar Kesavan</t>
        </is>
      </c>
    </row>
    <row r="66">
      <c r="A66" t="inlineStr">
        <is>
          <t>Aug</t>
        </is>
      </c>
      <c r="B66" t="inlineStr">
        <is>
          <t>EC</t>
        </is>
      </c>
      <c r="C66" s="35" t="inlineStr">
        <is>
          <t>Udayakumar S</t>
        </is>
      </c>
      <c r="D66" s="35" t="inlineStr">
        <is>
          <t>Siva Ramakrishnan</t>
        </is>
      </c>
    </row>
    <row r="67">
      <c r="A67" t="inlineStr">
        <is>
          <t>Aug</t>
        </is>
      </c>
      <c r="B67" t="inlineStr">
        <is>
          <t>EB</t>
        </is>
      </c>
      <c r="C67" s="35" t="inlineStr">
        <is>
          <t>Sampad Goon</t>
        </is>
      </c>
      <c r="D67" s="35" t="inlineStr">
        <is>
          <t>Bappaditya Biswas</t>
        </is>
      </c>
    </row>
    <row r="68">
      <c r="A68" t="inlineStr">
        <is>
          <t>Aug</t>
        </is>
      </c>
      <c r="B68" t="inlineStr">
        <is>
          <t>EB</t>
        </is>
      </c>
      <c r="C68" s="35" t="inlineStr">
        <is>
          <t>Soma Mukherjee</t>
        </is>
      </c>
      <c r="D68" s="35" t="inlineStr">
        <is>
          <t>Arnab Das A</t>
        </is>
      </c>
    </row>
    <row r="69">
      <c r="A69" t="inlineStr">
        <is>
          <t>Aug</t>
        </is>
      </c>
      <c r="B69" t="inlineStr">
        <is>
          <t>EB</t>
        </is>
      </c>
      <c r="C69" s="35" t="inlineStr">
        <is>
          <t>Thota Arun Kumar</t>
        </is>
      </c>
      <c r="D69" s="35" t="inlineStr">
        <is>
          <t>Smita Behera</t>
        </is>
      </c>
    </row>
    <row r="70">
      <c r="A70" t="inlineStr">
        <is>
          <t>Aug</t>
        </is>
      </c>
      <c r="B70" t="inlineStr">
        <is>
          <t>EB</t>
        </is>
      </c>
      <c r="C70" s="35" t="inlineStr">
        <is>
          <t>Ujwala Gorksha Bankar</t>
        </is>
      </c>
      <c r="D70" s="35" t="inlineStr">
        <is>
          <t>Shishir Deshpande</t>
        </is>
      </c>
    </row>
    <row r="71">
      <c r="A71" t="inlineStr">
        <is>
          <t>Aug</t>
        </is>
      </c>
      <c r="B71" t="inlineStr">
        <is>
          <t>EB</t>
        </is>
      </c>
      <c r="C71" s="35" t="inlineStr">
        <is>
          <t>Yogesh Kumar Sahu</t>
        </is>
      </c>
      <c r="D71" s="35" t="inlineStr">
        <is>
          <t>Shishir Deshpande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 Siva X</dc:creator>
  <dcterms:created xmlns:dcterms="http://purl.org/dc/terms/" xmlns:xsi="http://www.w3.org/2001/XMLSchema-instance" xsi:type="dcterms:W3CDTF">2024-03-05T15:41:35Z</dcterms:created>
  <dcterms:modified xmlns:dcterms="http://purl.org/dc/terms/" xmlns:xsi="http://www.w3.org/2001/XMLSchema-instance" xsi:type="dcterms:W3CDTF">2026-07-07T05:05:11Z</dcterms:modified>
  <cp:lastModifiedBy>R Siva X</cp:lastModifiedBy>
</cp:coreProperties>
</file>